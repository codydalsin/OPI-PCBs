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0" yWindow="75" windowWidth="15165" windowHeight="8820"/>
  </bookViews>
  <sheets>
    <sheet name="BOM Report" sheetId="1" r:id="rId1"/>
    <sheet name="Project Information" sheetId="2" r:id="rId2"/>
  </sheets>
  <definedNames>
    <definedName name="_xlnm._FilterDatabase" localSheetId="0" hidden="1">'BOM Report'!$A$9:$O$12</definedName>
  </definedNames>
  <calcPr calcId="145621"/>
</workbook>
</file>

<file path=xl/calcChain.xml><?xml version="1.0" encoding="utf-8"?>
<calcChain xmlns="http://schemas.openxmlformats.org/spreadsheetml/2006/main">
  <c r="C13" i="1" l="1"/>
  <c r="E12" i="1" l="1"/>
  <c r="E11" i="1"/>
  <c r="E10" i="1"/>
  <c r="A12" i="1" l="1"/>
  <c r="A11" i="1"/>
  <c r="A10" i="1"/>
  <c r="C7" i="1"/>
  <c r="B7" i="1"/>
</calcChain>
</file>

<file path=xl/comments1.xml><?xml version="1.0" encoding="utf-8"?>
<comments xmlns="http://schemas.openxmlformats.org/spreadsheetml/2006/main">
  <authors>
    <author>Lloyd Jones</author>
  </authors>
  <commentList>
    <comment ref="F7" authorId="0">
      <text>
        <r>
          <rPr>
            <b/>
            <sz val="9"/>
            <color indexed="81"/>
            <rFont val="Tahoma"/>
            <family val="2"/>
          </rPr>
          <t>Enter the desired QTY of boards to build here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Quantitiy of parts needed on PCB</t>
        </r>
      </text>
    </comment>
    <comment ref="N9" authorId="0">
      <text>
        <r>
          <rPr>
            <b/>
            <sz val="9"/>
            <color indexed="81"/>
            <rFont val="Tahoma"/>
            <family val="2"/>
          </rPr>
          <t>Populated or not</t>
        </r>
      </text>
    </comment>
  </commentList>
</comments>
</file>

<file path=xl/sharedStrings.xml><?xml version="1.0" encoding="utf-8"?>
<sst xmlns="http://schemas.openxmlformats.org/spreadsheetml/2006/main" count="58" uniqueCount="52">
  <si>
    <t>Print Date:</t>
  </si>
  <si>
    <t>Column=Footprint</t>
  </si>
  <si>
    <t>Column=Comment</t>
  </si>
  <si>
    <t>Column=Description</t>
  </si>
  <si>
    <t>Column=Quantity</t>
  </si>
  <si>
    <t>Source Data From:</t>
  </si>
  <si>
    <t>Variant:</t>
  </si>
  <si>
    <t>Column=Designator</t>
  </si>
  <si>
    <t>Field=ProjectFileName</t>
  </si>
  <si>
    <t>Field=VariantName</t>
  </si>
  <si>
    <t>Field=DataSourceFileName</t>
  </si>
  <si>
    <t>Field=TotalQuantity</t>
  </si>
  <si>
    <t>Field=Title</t>
  </si>
  <si>
    <t>Field=ReportDate</t>
  </si>
  <si>
    <t>Field=ReportTime</t>
  </si>
  <si>
    <t>Field=GeneratorDescription</t>
  </si>
  <si>
    <t>Title</t>
  </si>
  <si>
    <t>Field=ProjectFullPath</t>
  </si>
  <si>
    <t>Field=DataSourceFullPath</t>
  </si>
  <si>
    <t>Field=OutputName</t>
  </si>
  <si>
    <t>Field=OutputType</t>
  </si>
  <si>
    <t>Field=GeneratorName</t>
  </si>
  <si>
    <t>Project Full Path</t>
  </si>
  <si>
    <t>Variant Name</t>
  </si>
  <si>
    <t>Project Filename</t>
  </si>
  <si>
    <t>Data-Source Filename</t>
  </si>
  <si>
    <t>Data-Source Full Path</t>
  </si>
  <si>
    <t>Total Quantity</t>
  </si>
  <si>
    <t>Report Time</t>
  </si>
  <si>
    <t>Report Date</t>
  </si>
  <si>
    <t>Output Name</t>
  </si>
  <si>
    <t>Report Date &amp; Tine</t>
  </si>
  <si>
    <t>Field=ReportDateTime</t>
  </si>
  <si>
    <t>Output Type</t>
  </si>
  <si>
    <t>Output Generator Name</t>
  </si>
  <si>
    <t>Output Generator Description</t>
  </si>
  <si>
    <t>Project:</t>
  </si>
  <si>
    <t>Bill of Materials</t>
  </si>
  <si>
    <t>Column=OPI_VID</t>
  </si>
  <si>
    <t>Column=Manufacturer Part Number</t>
  </si>
  <si>
    <t>Column=Fitted</t>
  </si>
  <si>
    <t>Vendor</t>
  </si>
  <si>
    <t>#</t>
  </si>
  <si>
    <t>Created:</t>
  </si>
  <si>
    <t>Needed</t>
  </si>
  <si>
    <t>Column=Manufacturer</t>
  </si>
  <si>
    <t>Other Info</t>
  </si>
  <si>
    <t>Order</t>
  </si>
  <si>
    <t>Here</t>
  </si>
  <si>
    <t>Build Qty:</t>
  </si>
  <si>
    <t>Total Qty:</t>
  </si>
  <si>
    <t>Or press CTRL+R to spread out rows evenly.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</si>
</sst>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[$-409]h:mm:ss\ AM/PM;@"/>
  </numFmts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b/>
      <sz val="22"/>
      <name val="Arial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/>
  </cellStyleXfs>
  <cellXfs count="80">
    <xf numFmtId="0" fontId="0" fillId="0" borderId="0" xfId="0"/>
    <xf numFmtId="0" fontId="0" fillId="0" borderId="2" xfId="0" applyBorder="1" applyAlignment="1"/>
    <xf numFmtId="0" fontId="0" fillId="0" borderId="0" xfId="0" applyBorder="1" applyAlignment="1"/>
    <xf numFmtId="0" fontId="0" fillId="0" borderId="0" xfId="0" applyAlignment="1">
      <alignment vertical="top"/>
    </xf>
    <xf numFmtId="0" fontId="0" fillId="0" borderId="3" xfId="0" applyBorder="1" applyAlignment="1"/>
    <xf numFmtId="0" fontId="4" fillId="0" borderId="0" xfId="0" applyFont="1" applyBorder="1" applyAlignment="1"/>
    <xf numFmtId="164" fontId="0" fillId="0" borderId="4" xfId="0" applyNumberFormat="1" applyBorder="1" applyAlignment="1">
      <alignment horizontal="left"/>
    </xf>
    <xf numFmtId="165" fontId="0" fillId="0" borderId="4" xfId="0" applyNumberFormat="1" applyBorder="1" applyAlignment="1">
      <alignment horizontal="left"/>
    </xf>
    <xf numFmtId="0" fontId="5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2" fillId="2" borderId="5" xfId="0" applyFont="1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3" borderId="7" xfId="0" applyFont="1" applyFill="1" applyBorder="1" applyAlignment="1">
      <alignment horizontal="left" vertical="center"/>
    </xf>
    <xf numFmtId="0" fontId="0" fillId="3" borderId="8" xfId="0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2" fillId="0" borderId="0" xfId="0" applyFont="1" applyAlignment="1">
      <alignment vertical="center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2" xfId="0" applyNumberFormat="1" applyFont="1" applyFill="1" applyBorder="1" applyAlignment="1" applyProtection="1">
      <alignment vertical="top"/>
      <protection locked="0"/>
    </xf>
    <xf numFmtId="0" fontId="1" fillId="0" borderId="12" xfId="0" applyNumberFormat="1" applyFont="1" applyFill="1" applyBorder="1" applyAlignment="1" applyProtection="1">
      <alignment vertical="top"/>
      <protection locked="0"/>
    </xf>
    <xf numFmtId="0" fontId="2" fillId="0" borderId="2" xfId="0" applyFont="1" applyBorder="1" applyAlignment="1">
      <alignment horizontal="left"/>
    </xf>
    <xf numFmtId="0" fontId="2" fillId="0" borderId="2" xfId="0" applyFont="1" applyBorder="1" applyAlignment="1"/>
    <xf numFmtId="0" fontId="0" fillId="0" borderId="12" xfId="0" applyBorder="1" applyAlignment="1"/>
    <xf numFmtId="0" fontId="2" fillId="0" borderId="0" xfId="0" applyFont="1" applyBorder="1" applyAlignment="1">
      <alignment horizontal="left"/>
    </xf>
    <xf numFmtId="0" fontId="2" fillId="0" borderId="0" xfId="0" applyFont="1" applyBorder="1" applyAlignment="1"/>
    <xf numFmtId="0" fontId="2" fillId="0" borderId="4" xfId="0" applyFont="1" applyBorder="1" applyAlignment="1">
      <alignment horizontal="left"/>
    </xf>
    <xf numFmtId="0" fontId="0" fillId="0" borderId="4" xfId="0" applyBorder="1" applyAlignment="1"/>
    <xf numFmtId="0" fontId="0" fillId="0" borderId="14" xfId="0" applyBorder="1" applyAlignment="1">
      <alignment horizontal="left" vertical="top"/>
    </xf>
    <xf numFmtId="0" fontId="2" fillId="0" borderId="12" xfId="0" applyFont="1" applyBorder="1" applyAlignment="1"/>
    <xf numFmtId="0" fontId="0" fillId="0" borderId="0" xfId="0" applyBorder="1" applyAlignment="1">
      <alignment vertical="top"/>
    </xf>
    <xf numFmtId="0" fontId="5" fillId="5" borderId="16" xfId="0" applyFont="1" applyFill="1" applyBorder="1" applyAlignment="1">
      <alignment horizontal="left" vertical="top" wrapText="1"/>
    </xf>
    <xf numFmtId="0" fontId="5" fillId="4" borderId="16" xfId="0" applyFont="1" applyFill="1" applyBorder="1" applyAlignment="1">
      <alignment horizontal="left" vertical="top" wrapText="1"/>
    </xf>
    <xf numFmtId="0" fontId="1" fillId="6" borderId="14" xfId="0" applyNumberFormat="1" applyFont="1" applyFill="1" applyBorder="1" applyAlignment="1" applyProtection="1">
      <alignment horizontal="left" vertical="top" wrapText="1"/>
      <protection locked="0"/>
    </xf>
    <xf numFmtId="0" fontId="6" fillId="6" borderId="14" xfId="0" applyNumberFormat="1" applyFont="1" applyFill="1" applyBorder="1" applyAlignment="1" applyProtection="1">
      <alignment vertical="top" wrapText="1"/>
      <protection locked="0"/>
    </xf>
    <xf numFmtId="0" fontId="6" fillId="6" borderId="0" xfId="0" applyNumberFormat="1" applyFont="1" applyFill="1" applyBorder="1" applyAlignment="1" applyProtection="1">
      <alignment vertical="top" wrapText="1"/>
      <protection locked="0"/>
    </xf>
    <xf numFmtId="0" fontId="6" fillId="6" borderId="3" xfId="0" applyNumberFormat="1" applyFont="1" applyFill="1" applyBorder="1" applyAlignment="1" applyProtection="1">
      <alignment vertical="top" wrapText="1"/>
      <protection locked="0"/>
    </xf>
    <xf numFmtId="0" fontId="1" fillId="6" borderId="2" xfId="0" applyNumberFormat="1" applyFont="1" applyFill="1" applyBorder="1" applyAlignment="1" applyProtection="1">
      <alignment horizontal="left" vertical="top" wrapText="1"/>
      <protection locked="0"/>
    </xf>
    <xf numFmtId="0" fontId="6" fillId="6" borderId="2" xfId="0" applyNumberFormat="1" applyFont="1" applyFill="1" applyBorder="1" applyAlignment="1" applyProtection="1">
      <alignment vertical="top" wrapText="1"/>
      <protection locked="0"/>
    </xf>
    <xf numFmtId="0" fontId="6" fillId="6" borderId="12" xfId="0" applyNumberFormat="1" applyFont="1" applyFill="1" applyBorder="1" applyAlignment="1" applyProtection="1">
      <alignment vertical="top" wrapText="1"/>
      <protection locked="0"/>
    </xf>
    <xf numFmtId="0" fontId="3" fillId="7" borderId="17" xfId="0" applyFont="1" applyFill="1" applyBorder="1" applyAlignment="1">
      <alignment horizontal="left" vertical="center"/>
    </xf>
    <xf numFmtId="0" fontId="5" fillId="0" borderId="16" xfId="0" applyFont="1" applyBorder="1" applyAlignment="1">
      <alignment horizontal="left" vertical="top" wrapText="1"/>
    </xf>
    <xf numFmtId="0" fontId="0" fillId="7" borderId="0" xfId="0" applyFill="1" applyBorder="1" applyAlignment="1">
      <alignment horizontal="left"/>
    </xf>
    <xf numFmtId="0" fontId="0" fillId="7" borderId="19" xfId="0" applyFill="1" applyBorder="1" applyAlignment="1"/>
    <xf numFmtId="0" fontId="7" fillId="7" borderId="20" xfId="0" applyFont="1" applyFill="1" applyBorder="1" applyAlignment="1">
      <alignment vertical="center"/>
    </xf>
    <xf numFmtId="0" fontId="9" fillId="7" borderId="20" xfId="0" applyFont="1" applyFill="1" applyBorder="1" applyAlignment="1">
      <alignment vertical="center"/>
    </xf>
    <xf numFmtId="0" fontId="8" fillId="7" borderId="20" xfId="0" applyFont="1" applyFill="1" applyBorder="1" applyAlignment="1">
      <alignment vertical="center"/>
    </xf>
    <xf numFmtId="0" fontId="0" fillId="7" borderId="20" xfId="0" applyFill="1" applyBorder="1" applyAlignment="1"/>
    <xf numFmtId="0" fontId="0" fillId="7" borderId="21" xfId="0" applyFill="1" applyBorder="1" applyAlignment="1"/>
    <xf numFmtId="0" fontId="0" fillId="7" borderId="20" xfId="0" applyFill="1" applyBorder="1" applyAlignment="1">
      <alignment vertical="top"/>
    </xf>
    <xf numFmtId="0" fontId="3" fillId="7" borderId="16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center" vertical="top" wrapText="1"/>
    </xf>
    <xf numFmtId="0" fontId="5" fillId="5" borderId="16" xfId="0" applyFont="1" applyFill="1" applyBorder="1" applyAlignment="1">
      <alignment horizontal="center" vertical="top" wrapText="1"/>
    </xf>
    <xf numFmtId="0" fontId="3" fillId="7" borderId="16" xfId="0" applyFont="1" applyFill="1" applyBorder="1" applyAlignment="1">
      <alignment horizontal="left" vertical="center"/>
    </xf>
    <xf numFmtId="0" fontId="2" fillId="7" borderId="18" xfId="1" applyFont="1" applyFill="1" applyBorder="1" applyAlignment="1">
      <alignment horizontal="left" vertical="center"/>
    </xf>
    <xf numFmtId="0" fontId="2" fillId="7" borderId="16" xfId="1" applyFont="1" applyFill="1" applyBorder="1" applyAlignment="1">
      <alignment horizontal="left" vertical="center"/>
    </xf>
    <xf numFmtId="1" fontId="0" fillId="8" borderId="22" xfId="0" applyNumberFormat="1" applyFill="1" applyBorder="1" applyAlignment="1">
      <alignment horizontal="left" vertical="center"/>
    </xf>
    <xf numFmtId="0" fontId="0" fillId="0" borderId="0" xfId="0" applyBorder="1" applyAlignment="1">
      <alignment horizontal="left" vertical="top"/>
    </xf>
    <xf numFmtId="1" fontId="0" fillId="4" borderId="0" xfId="0" applyNumberFormat="1" applyFill="1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4" fillId="0" borderId="0" xfId="0" applyFont="1" applyBorder="1" applyAlignment="1">
      <alignment horizontal="right"/>
    </xf>
    <xf numFmtId="0" fontId="4" fillId="0" borderId="16" xfId="0" applyFont="1" applyBorder="1" applyAlignment="1">
      <alignment horizontal="left"/>
    </xf>
    <xf numFmtId="0" fontId="0" fillId="7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3" xfId="0" applyNumberFormat="1" applyBorder="1" applyAlignment="1">
      <alignment horizontal="center" vertical="top"/>
    </xf>
    <xf numFmtId="0" fontId="1" fillId="0" borderId="11" xfId="0" applyNumberFormat="1" applyFont="1" applyFill="1" applyBorder="1" applyAlignment="1" applyProtection="1">
      <alignment horizontal="center" vertical="top"/>
      <protection locked="0"/>
    </xf>
    <xf numFmtId="0" fontId="6" fillId="6" borderId="13" xfId="0" applyNumberFormat="1" applyFont="1" applyFill="1" applyBorder="1" applyAlignment="1" applyProtection="1">
      <alignment horizontal="center" vertical="top" wrapText="1"/>
      <protection locked="0"/>
    </xf>
    <xf numFmtId="0" fontId="1" fillId="6" borderId="11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Alignment="1">
      <alignment horizontal="center" vertical="top"/>
    </xf>
    <xf numFmtId="0" fontId="2" fillId="0" borderId="1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right" vertical="top"/>
    </xf>
    <xf numFmtId="0" fontId="1" fillId="0" borderId="0" xfId="0" applyFont="1" applyBorder="1" applyAlignment="1"/>
  </cellXfs>
  <cellStyles count="2">
    <cellStyle name="Normal" xfId="0" builtinId="0"/>
    <cellStyle name="Normal 2" xfId="1"/>
  </cellStyles>
  <dxfs count="1">
    <dxf>
      <font>
        <b/>
        <i val="0"/>
      </font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485775</xdr:colOff>
      <xdr:row>1</xdr:row>
      <xdr:rowOff>0</xdr:rowOff>
    </xdr:to>
    <xdr:pic>
      <xdr:nvPicPr>
        <xdr:cNvPr id="1055" name="Picture 2" descr="OPIsystems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43350" cy="11620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</xdr:row>
          <xdr:rowOff>47625</xdr:rowOff>
        </xdr:from>
        <xdr:to>
          <xdr:col>7</xdr:col>
          <xdr:colOff>781050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Spread Rows Now!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25"/>
  <sheetViews>
    <sheetView showGridLines="0" tabSelected="1" zoomScaleNormal="100" workbookViewId="0">
      <pane ySplit="9" topLeftCell="A10" activePane="bottomLeft" state="frozen"/>
      <selection pane="bottomLeft" activeCell="F7" sqref="F7"/>
    </sheetView>
  </sheetViews>
  <sheetFormatPr defaultRowHeight="12.75" x14ac:dyDescent="0.2"/>
  <cols>
    <col min="1" max="1" width="9.140625" style="73" customWidth="1"/>
    <col min="2" max="2" width="19.140625" style="9" customWidth="1"/>
    <col min="3" max="3" width="10.7109375" style="9" customWidth="1"/>
    <col min="4" max="4" width="12.85546875" style="3" customWidth="1"/>
    <col min="5" max="7" width="8.5703125" style="3" customWidth="1"/>
    <col min="8" max="8" width="12.42578125" style="3" customWidth="1"/>
    <col min="9" max="9" width="38.85546875" style="3" customWidth="1"/>
    <col min="10" max="10" width="15.42578125" style="3" customWidth="1"/>
    <col min="11" max="11" width="22" style="3" customWidth="1"/>
    <col min="12" max="12" width="15.28515625" style="3" customWidth="1"/>
    <col min="13" max="13" width="14.7109375" style="3" customWidth="1"/>
    <col min="14" max="14" width="11" style="3" customWidth="1"/>
    <col min="15" max="15" width="15.5703125" style="3" customWidth="1"/>
    <col min="16" max="16384" width="9.140625" style="3"/>
  </cols>
  <sheetData>
    <row r="1" spans="1:15" ht="91.5" customHeight="1" thickBot="1" x14ac:dyDescent="0.25">
      <c r="A1" s="67"/>
      <c r="B1" s="47"/>
      <c r="C1" s="47"/>
      <c r="D1" s="48"/>
      <c r="E1" s="49"/>
      <c r="F1" s="49" t="s">
        <v>37</v>
      </c>
      <c r="G1" s="50"/>
      <c r="H1" s="50"/>
      <c r="I1" s="54"/>
      <c r="J1" s="50" t="s">
        <v>8</v>
      </c>
      <c r="K1" s="51"/>
      <c r="L1" s="52"/>
      <c r="M1" s="52"/>
      <c r="N1" s="52"/>
      <c r="O1" s="53"/>
    </row>
    <row r="2" spans="1:15" ht="23.25" customHeight="1" x14ac:dyDescent="0.2">
      <c r="A2" s="74" t="s">
        <v>5</v>
      </c>
      <c r="B2" s="21"/>
      <c r="C2" s="29" t="s">
        <v>10</v>
      </c>
      <c r="D2" s="30"/>
      <c r="E2" s="30"/>
      <c r="F2" s="30"/>
      <c r="G2" s="2"/>
      <c r="H2" s="2"/>
      <c r="I2" s="2"/>
      <c r="J2" s="2"/>
      <c r="K2" s="2"/>
      <c r="L2" s="2"/>
      <c r="M2" s="2"/>
      <c r="N2" s="2"/>
      <c r="O2" s="4"/>
    </row>
    <row r="3" spans="1:15" ht="17.25" customHeight="1" x14ac:dyDescent="0.2">
      <c r="A3" s="74" t="s">
        <v>36</v>
      </c>
      <c r="B3" s="21"/>
      <c r="C3" s="31" t="s">
        <v>8</v>
      </c>
      <c r="D3" s="32"/>
      <c r="E3" s="2"/>
      <c r="F3" s="2"/>
      <c r="G3" s="2"/>
      <c r="H3" s="2"/>
      <c r="I3" s="79" t="s">
        <v>51</v>
      </c>
      <c r="J3" s="2"/>
      <c r="K3" s="2"/>
      <c r="L3" s="2"/>
      <c r="M3" s="2"/>
      <c r="N3" s="2"/>
      <c r="O3" s="4"/>
    </row>
    <row r="4" spans="1:15" ht="17.25" customHeight="1" x14ac:dyDescent="0.2">
      <c r="A4" s="74" t="s">
        <v>6</v>
      </c>
      <c r="B4" s="21"/>
      <c r="C4" s="26" t="s">
        <v>9</v>
      </c>
      <c r="D4" s="1"/>
      <c r="E4" s="2"/>
      <c r="G4" s="2"/>
      <c r="H4" s="2"/>
      <c r="I4" s="2"/>
      <c r="J4" s="2"/>
      <c r="K4" s="2"/>
      <c r="L4" s="2"/>
      <c r="M4" s="2"/>
      <c r="N4" s="2"/>
      <c r="O4" s="4"/>
    </row>
    <row r="5" spans="1:15" x14ac:dyDescent="0.2">
      <c r="A5" s="75"/>
      <c r="B5" s="26"/>
      <c r="C5" s="20"/>
      <c r="D5" s="1"/>
      <c r="E5" s="1"/>
      <c r="F5" s="1"/>
      <c r="G5" s="27"/>
      <c r="H5" s="27"/>
      <c r="I5" s="27"/>
      <c r="J5" s="27"/>
      <c r="K5" s="27"/>
      <c r="L5" s="27"/>
      <c r="M5" s="27"/>
      <c r="N5" s="27"/>
      <c r="O5" s="34"/>
    </row>
    <row r="6" spans="1:15" ht="15.75" customHeight="1" x14ac:dyDescent="0.2">
      <c r="A6" s="76" t="s">
        <v>43</v>
      </c>
      <c r="B6" s="20" t="s">
        <v>13</v>
      </c>
      <c r="C6" s="20" t="s">
        <v>14</v>
      </c>
      <c r="D6" s="5"/>
      <c r="E6" s="5"/>
      <c r="F6" s="5"/>
      <c r="G6" s="2"/>
      <c r="H6" s="2"/>
      <c r="I6" s="2"/>
      <c r="J6" s="2"/>
      <c r="K6" s="2"/>
      <c r="L6" s="2"/>
      <c r="M6" s="2"/>
      <c r="N6" s="2"/>
      <c r="O6" s="4"/>
    </row>
    <row r="7" spans="1:15" ht="15.75" customHeight="1" x14ac:dyDescent="0.2">
      <c r="A7" s="77" t="s">
        <v>0</v>
      </c>
      <c r="B7" s="6">
        <f ca="1">TODAY()</f>
        <v>41725</v>
      </c>
      <c r="C7" s="7">
        <f ca="1">NOW()</f>
        <v>41725.720688194444</v>
      </c>
      <c r="D7" s="5"/>
      <c r="E7" s="65" t="s">
        <v>49</v>
      </c>
      <c r="F7" s="66">
        <v>0</v>
      </c>
      <c r="G7" s="2"/>
      <c r="H7" s="2"/>
      <c r="I7" s="2"/>
      <c r="K7" s="2"/>
      <c r="L7" s="2"/>
      <c r="M7" s="2"/>
      <c r="N7" s="2"/>
      <c r="O7" s="4"/>
    </row>
    <row r="8" spans="1:15" ht="15.75" customHeight="1" x14ac:dyDescent="0.2">
      <c r="A8" s="68"/>
      <c r="B8" s="21"/>
      <c r="C8" s="21"/>
      <c r="D8" s="2"/>
      <c r="E8" s="2"/>
      <c r="F8" s="2"/>
      <c r="G8" s="2"/>
      <c r="H8" s="2"/>
      <c r="I8" s="1"/>
      <c r="J8" s="1"/>
      <c r="K8" s="1"/>
      <c r="L8" s="1"/>
      <c r="M8" s="1"/>
      <c r="N8" s="1"/>
      <c r="O8" s="28"/>
    </row>
    <row r="9" spans="1:15" s="22" customFormat="1" ht="19.5" customHeight="1" x14ac:dyDescent="0.2">
      <c r="A9" s="55" t="s">
        <v>42</v>
      </c>
      <c r="B9" s="58" t="s">
        <v>7</v>
      </c>
      <c r="C9" s="45" t="s">
        <v>4</v>
      </c>
      <c r="D9" s="45" t="s">
        <v>38</v>
      </c>
      <c r="E9" s="58" t="s">
        <v>44</v>
      </c>
      <c r="F9" s="45" t="s">
        <v>48</v>
      </c>
      <c r="G9" s="58" t="s">
        <v>47</v>
      </c>
      <c r="H9" s="45" t="s">
        <v>41</v>
      </c>
      <c r="I9" s="45" t="s">
        <v>3</v>
      </c>
      <c r="J9" s="45" t="s">
        <v>45</v>
      </c>
      <c r="K9" s="45" t="s">
        <v>39</v>
      </c>
      <c r="L9" s="45" t="s">
        <v>1</v>
      </c>
      <c r="M9" s="59" t="s">
        <v>2</v>
      </c>
      <c r="N9" s="59" t="s">
        <v>40</v>
      </c>
      <c r="O9" s="60" t="s">
        <v>46</v>
      </c>
    </row>
    <row r="10" spans="1:15" s="8" customFormat="1" ht="25.5" customHeight="1" x14ac:dyDescent="0.2">
      <c r="A10" s="56">
        <f>ROW(A10)- ROW($A$9)</f>
        <v>1</v>
      </c>
      <c r="B10" s="46"/>
      <c r="C10" s="46"/>
      <c r="D10" s="46"/>
      <c r="E10" s="46">
        <f>C10*$F$7</f>
        <v>0</v>
      </c>
      <c r="F10" s="46"/>
      <c r="G10" s="37"/>
      <c r="H10" s="37"/>
      <c r="I10" s="46"/>
      <c r="J10" s="46"/>
      <c r="K10" s="46"/>
      <c r="L10" s="46"/>
      <c r="M10" s="46"/>
      <c r="N10" s="46"/>
      <c r="O10" s="46"/>
    </row>
    <row r="11" spans="1:15" s="8" customFormat="1" ht="25.5" customHeight="1" x14ac:dyDescent="0.2">
      <c r="A11" s="57">
        <f>ROW(A11)- ROW($A$9)</f>
        <v>2</v>
      </c>
      <c r="B11" s="36"/>
      <c r="C11" s="36"/>
      <c r="D11" s="36"/>
      <c r="E11" s="36">
        <f>C11*$F$7</f>
        <v>0</v>
      </c>
      <c r="F11" s="36"/>
      <c r="G11" s="36"/>
      <c r="H11" s="36"/>
      <c r="I11" s="36"/>
      <c r="J11" s="36"/>
      <c r="K11" s="36"/>
      <c r="L11" s="36"/>
      <c r="M11" s="36"/>
      <c r="N11" s="36"/>
      <c r="O11" s="36"/>
    </row>
    <row r="12" spans="1:15" s="8" customFormat="1" ht="25.5" customHeight="1" thickBot="1" x14ac:dyDescent="0.25">
      <c r="A12" s="56">
        <f>ROW(A12)- ROW($A$9)</f>
        <v>3</v>
      </c>
      <c r="B12" s="37"/>
      <c r="C12" s="37"/>
      <c r="D12" s="37"/>
      <c r="E12" s="37">
        <f>C12*$F$7</f>
        <v>0</v>
      </c>
      <c r="F12" s="37"/>
      <c r="G12" s="37"/>
      <c r="H12" s="37"/>
      <c r="I12" s="37"/>
      <c r="J12" s="37"/>
      <c r="K12" s="37"/>
      <c r="L12" s="37"/>
      <c r="M12" s="37"/>
      <c r="N12" s="37"/>
      <c r="O12" s="37"/>
    </row>
    <row r="13" spans="1:15" ht="13.5" thickBot="1" x14ac:dyDescent="0.25">
      <c r="A13" s="69"/>
      <c r="B13" s="78" t="s">
        <v>50</v>
      </c>
      <c r="C13" s="61">
        <f>SUM(C10:C12)</f>
        <v>0</v>
      </c>
      <c r="F13" s="33"/>
      <c r="G13" s="33"/>
      <c r="H13" s="62"/>
      <c r="I13" s="62"/>
      <c r="J13" s="63"/>
      <c r="K13" s="62"/>
      <c r="L13" s="62"/>
      <c r="M13" s="62"/>
      <c r="N13" s="62"/>
      <c r="O13" s="64"/>
    </row>
    <row r="14" spans="1:15" customFormat="1" x14ac:dyDescent="0.2">
      <c r="A14" s="70"/>
      <c r="B14" s="23"/>
      <c r="C14" s="23"/>
      <c r="D14" s="23"/>
      <c r="E14" s="23"/>
      <c r="F14" s="23"/>
      <c r="G14" s="24"/>
      <c r="H14" s="24"/>
      <c r="I14" s="24"/>
      <c r="J14" s="24"/>
      <c r="K14" s="24"/>
      <c r="L14" s="24"/>
      <c r="M14" s="24"/>
      <c r="N14" s="24"/>
      <c r="O14" s="25"/>
    </row>
    <row r="15" spans="1:15" customFormat="1" x14ac:dyDescent="0.2">
      <c r="A15" s="71"/>
      <c r="B15" s="38"/>
      <c r="C15" s="38"/>
      <c r="D15" s="38"/>
      <c r="E15" s="38"/>
      <c r="F15" s="38"/>
      <c r="G15" s="39"/>
      <c r="H15" s="40"/>
      <c r="I15" s="40"/>
      <c r="J15" s="40"/>
      <c r="K15" s="40"/>
      <c r="L15" s="40"/>
      <c r="M15" s="40"/>
      <c r="N15" s="40"/>
      <c r="O15" s="41"/>
    </row>
    <row r="16" spans="1:15" customFormat="1" x14ac:dyDescent="0.2">
      <c r="A16" s="72"/>
      <c r="B16" s="42"/>
      <c r="C16" s="42"/>
      <c r="D16" s="42"/>
      <c r="E16" s="42"/>
      <c r="F16" s="42"/>
      <c r="G16" s="43"/>
      <c r="H16" s="43"/>
      <c r="I16" s="43"/>
      <c r="J16" s="43"/>
      <c r="K16" s="43"/>
      <c r="L16" s="43"/>
      <c r="M16" s="43"/>
      <c r="N16" s="43"/>
      <c r="O16" s="44"/>
    </row>
    <row r="25" spans="5:5" x14ac:dyDescent="0.2">
      <c r="E25" s="35"/>
    </row>
  </sheetData>
  <autoFilter ref="A9:O12"/>
  <phoneticPr fontId="0" type="noConversion"/>
  <conditionalFormatting sqref="A10:O12">
    <cfRule type="expression" dxfId="0" priority="3" stopIfTrue="1">
      <formula>$N10="Not Fitted"</formula>
    </cfRule>
  </conditionalFormatting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pread_Rows">
                <anchor moveWithCells="1" sizeWithCells="1">
                  <from>
                    <xdr:col>6</xdr:col>
                    <xdr:colOff>66675</xdr:colOff>
                    <xdr:row>2</xdr:row>
                    <xdr:rowOff>47625</xdr:rowOff>
                  </from>
                  <to>
                    <xdr:col>7</xdr:col>
                    <xdr:colOff>781050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activeCell="B19" sqref="B19"/>
    </sheetView>
  </sheetViews>
  <sheetFormatPr defaultRowHeight="12.75" x14ac:dyDescent="0.2"/>
  <cols>
    <col min="1" max="1" width="30.28515625" style="10" customWidth="1"/>
    <col min="2" max="2" width="108.5703125" style="10" customWidth="1"/>
  </cols>
  <sheetData>
    <row r="1" spans="1:2" s="13" customFormat="1" ht="17.25" customHeight="1" x14ac:dyDescent="0.2">
      <c r="A1" s="11" t="s">
        <v>22</v>
      </c>
      <c r="B1" s="12" t="s">
        <v>17</v>
      </c>
    </row>
    <row r="2" spans="1:2" s="13" customFormat="1" ht="17.25" customHeight="1" x14ac:dyDescent="0.2">
      <c r="A2" s="14" t="s">
        <v>24</v>
      </c>
      <c r="B2" s="15" t="s">
        <v>8</v>
      </c>
    </row>
    <row r="3" spans="1:2" s="13" customFormat="1" ht="17.25" customHeight="1" x14ac:dyDescent="0.2">
      <c r="A3" s="16" t="s">
        <v>23</v>
      </c>
      <c r="B3" s="17" t="s">
        <v>9</v>
      </c>
    </row>
    <row r="4" spans="1:2" s="13" customFormat="1" ht="17.25" customHeight="1" x14ac:dyDescent="0.2">
      <c r="A4" s="14" t="s">
        <v>25</v>
      </c>
      <c r="B4" s="15" t="s">
        <v>10</v>
      </c>
    </row>
    <row r="5" spans="1:2" s="13" customFormat="1" ht="17.25" customHeight="1" x14ac:dyDescent="0.2">
      <c r="A5" s="16" t="s">
        <v>26</v>
      </c>
      <c r="B5" s="17" t="s">
        <v>18</v>
      </c>
    </row>
    <row r="6" spans="1:2" s="13" customFormat="1" ht="17.25" customHeight="1" x14ac:dyDescent="0.2">
      <c r="A6" s="14" t="s">
        <v>16</v>
      </c>
      <c r="B6" s="15" t="s">
        <v>12</v>
      </c>
    </row>
    <row r="7" spans="1:2" s="13" customFormat="1" ht="17.25" customHeight="1" x14ac:dyDescent="0.2">
      <c r="A7" s="16" t="s">
        <v>27</v>
      </c>
      <c r="B7" s="17" t="s">
        <v>11</v>
      </c>
    </row>
    <row r="8" spans="1:2" s="13" customFormat="1" ht="17.25" customHeight="1" x14ac:dyDescent="0.2">
      <c r="A8" s="14" t="s">
        <v>28</v>
      </c>
      <c r="B8" s="15" t="s">
        <v>14</v>
      </c>
    </row>
    <row r="9" spans="1:2" s="13" customFormat="1" ht="17.25" customHeight="1" x14ac:dyDescent="0.2">
      <c r="A9" s="16" t="s">
        <v>29</v>
      </c>
      <c r="B9" s="17" t="s">
        <v>13</v>
      </c>
    </row>
    <row r="10" spans="1:2" s="13" customFormat="1" ht="17.25" customHeight="1" x14ac:dyDescent="0.2">
      <c r="A10" s="14" t="s">
        <v>31</v>
      </c>
      <c r="B10" s="15" t="s">
        <v>32</v>
      </c>
    </row>
    <row r="11" spans="1:2" s="13" customFormat="1" ht="17.25" customHeight="1" x14ac:dyDescent="0.2">
      <c r="A11" s="16" t="s">
        <v>30</v>
      </c>
      <c r="B11" s="17" t="s">
        <v>19</v>
      </c>
    </row>
    <row r="12" spans="1:2" s="13" customFormat="1" ht="17.25" customHeight="1" x14ac:dyDescent="0.2">
      <c r="A12" s="14" t="s">
        <v>33</v>
      </c>
      <c r="B12" s="15" t="s">
        <v>20</v>
      </c>
    </row>
    <row r="13" spans="1:2" s="13" customFormat="1" ht="17.25" customHeight="1" x14ac:dyDescent="0.2">
      <c r="A13" s="16" t="s">
        <v>34</v>
      </c>
      <c r="B13" s="17" t="s">
        <v>21</v>
      </c>
    </row>
    <row r="14" spans="1:2" s="13" customFormat="1" ht="17.25" customHeight="1" thickBot="1" x14ac:dyDescent="0.25">
      <c r="A14" s="18" t="s">
        <v>35</v>
      </c>
      <c r="B14" s="19" t="s">
        <v>15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 Report</vt:lpstr>
      <vt:lpstr>Project Information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Lloyd Jones</dc:creator>
  <cp:lastModifiedBy>Lloyd Jones</cp:lastModifiedBy>
  <cp:lastPrinted>2002-11-05T13:50:54Z</cp:lastPrinted>
  <dcterms:created xsi:type="dcterms:W3CDTF">2000-10-27T00:30:29Z</dcterms:created>
  <dcterms:modified xsi:type="dcterms:W3CDTF">2014-03-27T23:18:36Z</dcterms:modified>
</cp:coreProperties>
</file>