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30" yWindow="75" windowWidth="15165" windowHeight="8820"/>
  </bookViews>
  <sheets>
    <sheet name="BOM Report" sheetId="1" r:id="rId1"/>
    <sheet name="Project Information" sheetId="2" r:id="rId2"/>
  </sheets>
  <definedNames>
    <definedName name="_xlnm._FilterDatabase" localSheetId="0" hidden="1">'BOM Report'!$A$9:$O$82</definedName>
  </definedNames>
  <calcPr calcId="145621"/>
</workbook>
</file>

<file path=xl/calcChain.xml><?xml version="1.0" encoding="utf-8"?>
<calcChain xmlns="http://schemas.openxmlformats.org/spreadsheetml/2006/main">
  <c r="E82" i="1" l="1"/>
  <c r="A82" i="1"/>
  <c r="E81" i="1"/>
  <c r="A81" i="1"/>
  <c r="E80" i="1"/>
  <c r="A80" i="1"/>
  <c r="E79" i="1"/>
  <c r="A79" i="1"/>
  <c r="E78" i="1"/>
  <c r="A78" i="1"/>
  <c r="E77" i="1"/>
  <c r="A77" i="1"/>
  <c r="E76" i="1"/>
  <c r="A76" i="1"/>
  <c r="E75" i="1"/>
  <c r="A75" i="1"/>
  <c r="E74" i="1"/>
  <c r="A74" i="1"/>
  <c r="E73" i="1"/>
  <c r="A73" i="1"/>
  <c r="E72" i="1"/>
  <c r="A72" i="1"/>
  <c r="E71" i="1"/>
  <c r="A71" i="1"/>
  <c r="E70" i="1"/>
  <c r="A70" i="1"/>
  <c r="E69" i="1"/>
  <c r="A69" i="1"/>
  <c r="E68" i="1"/>
  <c r="A68" i="1"/>
  <c r="E67" i="1"/>
  <c r="A67" i="1"/>
  <c r="E66" i="1"/>
  <c r="A66" i="1"/>
  <c r="E65" i="1"/>
  <c r="A65" i="1"/>
  <c r="E64" i="1"/>
  <c r="A64" i="1"/>
  <c r="E63" i="1"/>
  <c r="A63" i="1"/>
  <c r="E62" i="1"/>
  <c r="A62" i="1"/>
  <c r="E61" i="1"/>
  <c r="A61" i="1"/>
  <c r="E60" i="1"/>
  <c r="A60" i="1"/>
  <c r="E59" i="1"/>
  <c r="A59" i="1"/>
  <c r="E58" i="1"/>
  <c r="A58" i="1"/>
  <c r="E57" i="1"/>
  <c r="A57" i="1"/>
  <c r="E56" i="1"/>
  <c r="A56" i="1"/>
  <c r="E55" i="1"/>
  <c r="A55" i="1"/>
  <c r="E54" i="1"/>
  <c r="A54" i="1"/>
  <c r="E53" i="1"/>
  <c r="A53" i="1"/>
  <c r="E52" i="1"/>
  <c r="A52" i="1"/>
  <c r="E51" i="1"/>
  <c r="A51" i="1"/>
  <c r="E50" i="1"/>
  <c r="A50" i="1"/>
  <c r="E49" i="1"/>
  <c r="A49" i="1"/>
  <c r="E48" i="1"/>
  <c r="A48" i="1"/>
  <c r="E47" i="1"/>
  <c r="A47" i="1"/>
  <c r="E46" i="1"/>
  <c r="A46" i="1"/>
  <c r="E45" i="1"/>
  <c r="A45" i="1"/>
  <c r="E44" i="1"/>
  <c r="A44" i="1"/>
  <c r="E43" i="1"/>
  <c r="A43" i="1"/>
  <c r="E42" i="1"/>
  <c r="A42" i="1"/>
  <c r="E41" i="1"/>
  <c r="A41" i="1"/>
  <c r="E40" i="1"/>
  <c r="A40" i="1"/>
  <c r="E39" i="1"/>
  <c r="A39" i="1"/>
  <c r="E38" i="1"/>
  <c r="A38" i="1"/>
  <c r="E37" i="1"/>
  <c r="A37" i="1"/>
  <c r="E36" i="1"/>
  <c r="A36" i="1"/>
  <c r="E35" i="1"/>
  <c r="A35" i="1"/>
  <c r="E34" i="1"/>
  <c r="A34" i="1"/>
  <c r="E33" i="1"/>
  <c r="A33" i="1"/>
  <c r="E32" i="1"/>
  <c r="A32" i="1"/>
  <c r="E31" i="1"/>
  <c r="A31" i="1"/>
  <c r="E30" i="1"/>
  <c r="A30" i="1"/>
  <c r="E29" i="1"/>
  <c r="A29" i="1"/>
  <c r="E28" i="1"/>
  <c r="A28" i="1"/>
  <c r="E27" i="1"/>
  <c r="A27" i="1"/>
  <c r="E26" i="1"/>
  <c r="A26" i="1"/>
  <c r="E25" i="1"/>
  <c r="A25" i="1"/>
  <c r="E24" i="1"/>
  <c r="A24" i="1"/>
  <c r="E23" i="1"/>
  <c r="A23" i="1"/>
  <c r="E22" i="1"/>
  <c r="A22" i="1"/>
  <c r="E21" i="1"/>
  <c r="A21" i="1"/>
  <c r="E20" i="1"/>
  <c r="A20" i="1"/>
  <c r="E19" i="1"/>
  <c r="A19" i="1"/>
  <c r="E18" i="1"/>
  <c r="A18" i="1"/>
  <c r="E17" i="1"/>
  <c r="A17" i="1"/>
  <c r="E16" i="1"/>
  <c r="A16" i="1"/>
  <c r="E15" i="1"/>
  <c r="A15" i="1"/>
  <c r="E14" i="1"/>
  <c r="A14" i="1"/>
  <c r="E13" i="1"/>
  <c r="A13" i="1"/>
  <c r="E12" i="1"/>
  <c r="A12" i="1"/>
  <c r="C83" i="1" l="1"/>
  <c r="E11" i="1" l="1"/>
  <c r="E10" i="1"/>
  <c r="A11" i="1" l="1"/>
  <c r="A10" i="1"/>
  <c r="C7" i="1"/>
  <c r="B7" i="1"/>
</calcChain>
</file>

<file path=xl/comments1.xml><?xml version="1.0" encoding="utf-8"?>
<comments xmlns="http://schemas.openxmlformats.org/spreadsheetml/2006/main">
  <authors>
    <author>Lloyd Jones</author>
  </authors>
  <commentList>
    <comment ref="F7" authorId="0">
      <text>
        <r>
          <rPr>
            <b/>
            <sz val="9"/>
            <color indexed="81"/>
            <rFont val="Tahoma"/>
            <family val="2"/>
          </rPr>
          <t>Enter the desired QTY of boards to build here</t>
        </r>
      </text>
    </comment>
    <comment ref="C9" authorId="0">
      <text>
        <r>
          <rPr>
            <b/>
            <sz val="9"/>
            <color indexed="81"/>
            <rFont val="Tahoma"/>
            <family val="2"/>
          </rPr>
          <t>Quantitiy of parts needed on PCB</t>
        </r>
      </text>
    </comment>
    <comment ref="N9" authorId="0">
      <text>
        <r>
          <rPr>
            <b/>
            <sz val="9"/>
            <color indexed="81"/>
            <rFont val="Tahoma"/>
            <family val="2"/>
          </rPr>
          <t>Populated or not</t>
        </r>
      </text>
    </comment>
  </commentList>
</comments>
</file>

<file path=xl/sharedStrings.xml><?xml version="1.0" encoding="utf-8"?>
<sst xmlns="http://schemas.openxmlformats.org/spreadsheetml/2006/main" count="642" uniqueCount="439">
  <si>
    <t>Print Date:</t>
  </si>
  <si>
    <t>Source Data From:</t>
  </si>
  <si>
    <t>Variant:</t>
  </si>
  <si>
    <t>Title</t>
  </si>
  <si>
    <t>Project Full Path</t>
  </si>
  <si>
    <t>Variant Name</t>
  </si>
  <si>
    <t>Project Filename</t>
  </si>
  <si>
    <t>Data-Source Filename</t>
  </si>
  <si>
    <t>Data-Source Full Path</t>
  </si>
  <si>
    <t>Total Quantity</t>
  </si>
  <si>
    <t>Report Time</t>
  </si>
  <si>
    <t>Report Date</t>
  </si>
  <si>
    <t>Output Name</t>
  </si>
  <si>
    <t>Report Date &amp; Tine</t>
  </si>
  <si>
    <t>Output Type</t>
  </si>
  <si>
    <t>Output Generator Name</t>
  </si>
  <si>
    <t>Output Generator Description</t>
  </si>
  <si>
    <t>Project:</t>
  </si>
  <si>
    <t>Bill of Materials</t>
  </si>
  <si>
    <t>Vendor</t>
  </si>
  <si>
    <t>#</t>
  </si>
  <si>
    <t>Created:</t>
  </si>
  <si>
    <t>Needed</t>
  </si>
  <si>
    <t>Other Info</t>
  </si>
  <si>
    <t>Order</t>
  </si>
  <si>
    <t>Here</t>
  </si>
  <si>
    <t>Build Qty:</t>
  </si>
  <si>
    <t>Total Qty:</t>
  </si>
  <si>
    <t>Or press CTRL+R to spread out rows evenly.</t>
  </si>
  <si>
    <t>31/03/2014</t>
  </si>
  <si>
    <t>CableNodeRevF.PrjPcb</t>
  </si>
  <si>
    <t>Base Variant to Contract Manufacturer</t>
  </si>
  <si>
    <t>1:14:22 PM</t>
  </si>
  <si>
    <t>Designator</t>
  </si>
  <si>
    <t>C1</t>
  </si>
  <si>
    <t>C2, C3, C4</t>
  </si>
  <si>
    <t>C5, C8</t>
  </si>
  <si>
    <t>C6</t>
  </si>
  <si>
    <t>C7, C50, C54</t>
  </si>
  <si>
    <t>C9</t>
  </si>
  <si>
    <t>C10, C11, C20, C51, C53</t>
  </si>
  <si>
    <t>D1, D4</t>
  </si>
  <si>
    <t>D2, D5, D10</t>
  </si>
  <si>
    <t>D3, D11, D12, D13, D14</t>
  </si>
  <si>
    <t>D6, D8, D9</t>
  </si>
  <si>
    <t>D15</t>
  </si>
  <si>
    <t>D16</t>
  </si>
  <si>
    <t>F1</t>
  </si>
  <si>
    <t>F2, F3</t>
  </si>
  <si>
    <t>J1</t>
  </si>
  <si>
    <t>L1</t>
  </si>
  <si>
    <t>L2</t>
  </si>
  <si>
    <t>LED1, LED4</t>
  </si>
  <si>
    <t>LED2, LED3</t>
  </si>
  <si>
    <t>P1</t>
  </si>
  <si>
    <t>P5</t>
  </si>
  <si>
    <t>P6, P7</t>
  </si>
  <si>
    <t>Q1</t>
  </si>
  <si>
    <t>Q2, Q3, Q4, Q5</t>
  </si>
  <si>
    <t>Q6</t>
  </si>
  <si>
    <t>R1</t>
  </si>
  <si>
    <t>R2, R6, R9</t>
  </si>
  <si>
    <t>R3</t>
  </si>
  <si>
    <t>R4, R10</t>
  </si>
  <si>
    <t>R5</t>
  </si>
  <si>
    <t>R7</t>
  </si>
  <si>
    <t>R8</t>
  </si>
  <si>
    <t>R11</t>
  </si>
  <si>
    <t>R12</t>
  </si>
  <si>
    <t>R13</t>
  </si>
  <si>
    <t>R15</t>
  </si>
  <si>
    <t>R16, R20, R23, R24, R31, R34, R44, R51, R52, R53, R63, R69</t>
  </si>
  <si>
    <t>R17</t>
  </si>
  <si>
    <t>R18</t>
  </si>
  <si>
    <t>R19, R67</t>
  </si>
  <si>
    <t>R21, R32</t>
  </si>
  <si>
    <t>R22, R29, R42, R43</t>
  </si>
  <si>
    <t>R25, R26, R30, R33, R62</t>
  </si>
  <si>
    <t>R27, R28, R40, R41, R47, R60, R66</t>
  </si>
  <si>
    <t>R35, R36</t>
  </si>
  <si>
    <t>R37, R65</t>
  </si>
  <si>
    <t>R38</t>
  </si>
  <si>
    <t>R39</t>
  </si>
  <si>
    <t>R45</t>
  </si>
  <si>
    <t>R54</t>
  </si>
  <si>
    <t>R55, R56, R57, R68</t>
  </si>
  <si>
    <t>R58</t>
  </si>
  <si>
    <t>R64</t>
  </si>
  <si>
    <t>RAD1</t>
  </si>
  <si>
    <t>SW1</t>
  </si>
  <si>
    <t>U1</t>
  </si>
  <si>
    <t>U2</t>
  </si>
  <si>
    <t>U3, U5</t>
  </si>
  <si>
    <t>U6</t>
  </si>
  <si>
    <t>U8, U9</t>
  </si>
  <si>
    <t>U10</t>
  </si>
  <si>
    <t>U11</t>
  </si>
  <si>
    <t>BATT1</t>
  </si>
  <si>
    <t>C52, R46, R50</t>
  </si>
  <si>
    <t>CANADAFLAG1, CANADAFLAG2</t>
  </si>
  <si>
    <t>FD1, FD2, FD3</t>
  </si>
  <si>
    <t>MH1, MH2, MH3</t>
  </si>
  <si>
    <t>P2</t>
  </si>
  <si>
    <t>P3</t>
  </si>
  <si>
    <t>P4</t>
  </si>
  <si>
    <t>SP1</t>
  </si>
  <si>
    <t>TP1, TP2, TP3, TP4, TP5, TP6, TP7, TP8, TP9, TP10, TP11, TP12, TP13, TP14, TP15, TP16, TP17, TP18, TP19, TP20, TP21, TP22, TP23, TP24</t>
  </si>
  <si>
    <t>Quantity</t>
  </si>
  <si>
    <t>OPI_VID</t>
  </si>
  <si>
    <t>100045</t>
  </si>
  <si>
    <t>101023</t>
  </si>
  <si>
    <t>101319</t>
  </si>
  <si>
    <t>101320</t>
  </si>
  <si>
    <t>101017</t>
  </si>
  <si>
    <t>101481</t>
  </si>
  <si>
    <t>100039</t>
  </si>
  <si>
    <t>101018</t>
  </si>
  <si>
    <t>101020</t>
  </si>
  <si>
    <t>101321</t>
  </si>
  <si>
    <t>101019</t>
  </si>
  <si>
    <t>101383</t>
  </si>
  <si>
    <t>101482</t>
  </si>
  <si>
    <t>101385</t>
  </si>
  <si>
    <t>101164</t>
  </si>
  <si>
    <t>xxxxx</t>
  </si>
  <si>
    <t>101322</t>
  </si>
  <si>
    <t>101323</t>
  </si>
  <si>
    <t>101324</t>
  </si>
  <si>
    <t>101483</t>
  </si>
  <si>
    <t>101377</t>
  </si>
  <si>
    <t>101439</t>
  </si>
  <si>
    <t>100638</t>
  </si>
  <si>
    <t>101327</t>
  </si>
  <si>
    <t>101484</t>
  </si>
  <si>
    <t>101328</t>
  </si>
  <si>
    <t>101329</t>
  </si>
  <si>
    <t>101330</t>
  </si>
  <si>
    <t>101331</t>
  </si>
  <si>
    <t>101448</t>
  </si>
  <si>
    <t>101450</t>
  </si>
  <si>
    <t>101333</t>
  </si>
  <si>
    <t>101381</t>
  </si>
  <si>
    <t>101334</t>
  </si>
  <si>
    <t>101039</t>
  </si>
  <si>
    <t>101337</t>
  </si>
  <si>
    <t>101044</t>
  </si>
  <si>
    <t>101382</t>
  </si>
  <si>
    <t>101380</t>
  </si>
  <si>
    <t>101245</t>
  </si>
  <si>
    <t>101340</t>
  </si>
  <si>
    <t>101341</t>
  </si>
  <si>
    <t>101077</t>
  </si>
  <si>
    <t>101174</t>
  </si>
  <si>
    <t>101342</t>
  </si>
  <si>
    <t>101343</t>
  </si>
  <si>
    <t>101344</t>
  </si>
  <si>
    <t>101386</t>
  </si>
  <si>
    <t>101463</t>
  </si>
  <si>
    <t>101487</t>
  </si>
  <si>
    <t>101175</t>
  </si>
  <si>
    <t>xxxxxx</t>
  </si>
  <si>
    <t>101384</t>
  </si>
  <si>
    <t>101346</t>
  </si>
  <si>
    <t>101347</t>
  </si>
  <si>
    <t>101348</t>
  </si>
  <si>
    <t>101350</t>
  </si>
  <si>
    <t>101351</t>
  </si>
  <si>
    <t>101392</t>
  </si>
  <si>
    <t>100039, 101042, 101044</t>
  </si>
  <si>
    <t/>
  </si>
  <si>
    <t>100210</t>
  </si>
  <si>
    <t>101345</t>
  </si>
  <si>
    <t>Description</t>
  </si>
  <si>
    <t>CAP CER 22PF 50V 5% NPO 0805</t>
  </si>
  <si>
    <t>CAP CER 4.7UF 6.3V 10% X5R 0805</t>
  </si>
  <si>
    <t>CAP CER 47UF 10V 20% X5R 1206</t>
  </si>
  <si>
    <t>CAP CER 10000PF 100V X7R 0805</t>
  </si>
  <si>
    <t>CAP CER 10000PF 50V 10% X7R 0603</t>
  </si>
  <si>
    <t>CAP CER 1UF 10V 10% X5R 0603</t>
  </si>
  <si>
    <t>CAP CERM .1UF 10% 16V X7R 0603</t>
  </si>
  <si>
    <t>DIODE SCHOTTKY 1A 200V PWRDI 123</t>
  </si>
  <si>
    <t>SUPPRESSOR ESD 24VDC 0603 SMD</t>
  </si>
  <si>
    <t>DIODE SW DUAL 75V 350MW SOT23-3</t>
  </si>
  <si>
    <t>TVS BIDIRECT 50W SOD523</t>
  </si>
  <si>
    <t>DIODE ZENER 5.42V 500MW SOD323F</t>
  </si>
  <si>
    <t>DIODE SCHOTTKY 40V 30MA SOT323</t>
  </si>
  <si>
    <t>POLYSWITCH 2.6A RESET FUSE SMD</t>
  </si>
  <si>
    <t>POLYSWITCH .50A RESET FUSE SMD</t>
  </si>
  <si>
    <t>CONN HEADER 2POS 3MM VERT GOLD</t>
  </si>
  <si>
    <t>INDUCTOR POWER 3.6UH 1.38A SMD</t>
  </si>
  <si>
    <t>INDUCTOR PWR 22UH 20% SHIELD SMD</t>
  </si>
  <si>
    <t>LED 0.33W RED WTR CLR 3.5MM</t>
  </si>
  <si>
    <t>LED 0.48W BLUE WTR CLR 3.5MM</t>
  </si>
  <si>
    <t>SIL HORIZ PC TAIL PIN HEADER</t>
  </si>
  <si>
    <t>CONN HEADER RT ANG 3POS 5.08MM</t>
  </si>
  <si>
    <t>CONN HEADER 12POS 2MM VERT T/H</t>
  </si>
  <si>
    <t>MOSFET P-CH 20V 2.2A SOT23-3</t>
  </si>
  <si>
    <t>MOSFET N-CH 20V 2.6A SOT23-3</t>
  </si>
  <si>
    <t>IC SWITCH P-CHANNEL SOT-23</t>
  </si>
  <si>
    <t>RES 3.24M OHM 1/8W 1% 0805 SMD</t>
  </si>
  <si>
    <t>RES 3.83M OHM 1/10W 1% 0603 SMD</t>
  </si>
  <si>
    <t>RES 1.02M OHM 1/8W 1% 0805 SMD</t>
  </si>
  <si>
    <t>RES 7.50M OHM 1/10W 1% 0603 SMD</t>
  </si>
  <si>
    <t>RES 2.00M OHM 1/10W 1% 0603 SMD</t>
  </si>
  <si>
    <t>RES 4.22M OHM 1/10W 1% 0603 SMD</t>
  </si>
  <si>
    <t>RES 4.75M OHM 1/10W 1% 0603 SMD</t>
  </si>
  <si>
    <t>RES 4.99M OHM 1/10W 1% 0603 SMD</t>
  </si>
  <si>
    <t>RES 5.36M OHM 1/10W 1% 0603 SMD</t>
  </si>
  <si>
    <t>RES 1.0M OHM 1/10W 5% 0603 SMD</t>
  </si>
  <si>
    <t>RES 27.0 OHM 1/10W 1% 0603 SMD</t>
  </si>
  <si>
    <t>RES 10K OHM 1/10W 5% 0603 SMD</t>
  </si>
  <si>
    <t>RES 51.1 OHM 1/2W 1% 1210 SMD</t>
  </si>
  <si>
    <t>RES 24 OHM 1W 5% 2512 SMD</t>
  </si>
  <si>
    <t>RES 100K OHM 1/10W 5% 0603 SMD</t>
  </si>
  <si>
    <t>RES 22.0 OHM 1/4W 1% 1206 SMD</t>
  </si>
  <si>
    <t>RES 12.0 OHM 1/4W 1% 1206 SMD</t>
  </si>
  <si>
    <t>RES 1.0K OHM 1/10W 5% 0603 SMD</t>
  </si>
  <si>
    <t>RES 100 OHM 1/10W 5% 0603 SMD</t>
  </si>
  <si>
    <t>RES 1.00M OHM 1/10W 1% 0603 SMD</t>
  </si>
  <si>
    <t>RES 715K OHM 1/10W 1% 0603 SMD</t>
  </si>
  <si>
    <t>RES 432K OHM 1/10W 1% 0603 SMD</t>
  </si>
  <si>
    <t>RES 330 OHM 1/8W 5% 0805 SMD</t>
  </si>
  <si>
    <t>RES 12 OHM 1W 5% 2512</t>
  </si>
  <si>
    <t>RES 2K OHM 1/10W 1% 0603 SMD</t>
  </si>
  <si>
    <t>RES 4.7K OHM 1/10W 5% 0603 SMD</t>
  </si>
  <si>
    <t>RES 200K OHM 1/10W 5% 0603 SMD</t>
  </si>
  <si>
    <t>RES 3M65 OHM 1/10W 1% 0603 SMD</t>
  </si>
  <si>
    <t>Synapse RF200PF1 Snappy Transceiver</t>
  </si>
  <si>
    <t>SWITCH REED MAG SMT 12-18AT</t>
  </si>
  <si>
    <t>IC REG BOOST SYNC ADJ 0.55A 6DFN</t>
  </si>
  <si>
    <t>IC ENERGY HARV CTRLR BATT 16QFN</t>
  </si>
  <si>
    <t>IC LOAD SWITCH INTEGRATED SC70-6</t>
  </si>
  <si>
    <t>IC BRIDGE I2C TO 1-WIRE 8-SOIC</t>
  </si>
  <si>
    <t>IC SWITCH SPDT SC88</t>
  </si>
  <si>
    <t>IC LEVEL TRANSLATOR - TSSOP8</t>
  </si>
  <si>
    <t>Low Quiescent Current, Programmable-Delay  Supervisory Circuit</t>
  </si>
  <si>
    <t>26650 LiFePO4 3.2V 3300mAh</t>
  </si>
  <si>
    <t>CAP CERM .1UF 10% 16V X7R 0603, RES 0.0 OHM 1/10W 0603 SMD, RES 10K OHM 1/10W 5% 0603 SMD</t>
  </si>
  <si>
    <t>Canada Flag</t>
  </si>
  <si>
    <t>Fiducial Round</t>
  </si>
  <si>
    <t>PCB Mounting Hole, 0.150" hole, 0.270" Keepout</t>
  </si>
  <si>
    <t>Header, 4-Pin</t>
  </si>
  <si>
    <t>Header, 2-Pin</t>
  </si>
  <si>
    <t>CONN EDGECARD 6POS .100 FINGERS</t>
  </si>
  <si>
    <t>Solar Panel, Flexible, 3.6V and 4.8V footprints</t>
  </si>
  <si>
    <t>Manufacturer</t>
  </si>
  <si>
    <t>Yageo</t>
  </si>
  <si>
    <t>Taiyo Yuden</t>
  </si>
  <si>
    <t>TDK Corporation</t>
  </si>
  <si>
    <t>AVX Corporation</t>
  </si>
  <si>
    <t>Diodes Inc</t>
  </si>
  <si>
    <t>Littelfuse Inc</t>
  </si>
  <si>
    <t>ON Semiconductor</t>
  </si>
  <si>
    <t>TE Connectivity</t>
  </si>
  <si>
    <t>Molex Inc</t>
  </si>
  <si>
    <t>Wurth Electronics Inc</t>
  </si>
  <si>
    <t>Bourns Inc.</t>
  </si>
  <si>
    <t>TT Electronics/Optek Technology</t>
  </si>
  <si>
    <t>Harwin Inc</t>
  </si>
  <si>
    <t>Phoenix Contact</t>
  </si>
  <si>
    <t>3M</t>
  </si>
  <si>
    <t>Vishay/Siliconix</t>
  </si>
  <si>
    <t>Vishay Siliconix</t>
  </si>
  <si>
    <t>Fairchild Semiconductor</t>
  </si>
  <si>
    <t>Vishay Dale</t>
  </si>
  <si>
    <t>Panasonic - ECG</t>
  </si>
  <si>
    <t>Panasonic Electronic Components</t>
  </si>
  <si>
    <t>Stackpole Electronics Inc</t>
  </si>
  <si>
    <t>Samsung</t>
  </si>
  <si>
    <t>Synapse Wireless</t>
  </si>
  <si>
    <t>Hamlin Inc</t>
  </si>
  <si>
    <t>Linear Technology</t>
  </si>
  <si>
    <t>Texas Instruments</t>
  </si>
  <si>
    <t>Maxim Integrated</t>
  </si>
  <si>
    <t>NXP Semiconductors</t>
  </si>
  <si>
    <t>TACBattery</t>
  </si>
  <si>
    <t>AVX Corporation, Panasonic - ECG, Panasonic Electronic Components</t>
  </si>
  <si>
    <t>PowerFilm Solar</t>
  </si>
  <si>
    <t>Manufacturer Part Number</t>
  </si>
  <si>
    <t>CC0805JRNPO9BN220</t>
  </si>
  <si>
    <t>JMK212BJ475KG-T</t>
  </si>
  <si>
    <t>LMK316BJ476ML-T</t>
  </si>
  <si>
    <t>C2012X7R2A103K</t>
  </si>
  <si>
    <t>C1608X7R1H103K</t>
  </si>
  <si>
    <t>0603ZD105KAT2A</t>
  </si>
  <si>
    <t>0603YC104KAT2A</t>
  </si>
  <si>
    <t>DFLS1200-7</t>
  </si>
  <si>
    <t>PGB1010603NR</t>
  </si>
  <si>
    <t>BAV99-7-F</t>
  </si>
  <si>
    <t>ESD5B5.0ST1G</t>
  </si>
  <si>
    <t>DDZ5V6ASF-7</t>
  </si>
  <si>
    <t>SDMG0340LC-7-F</t>
  </si>
  <si>
    <t>MINISMDC260F-2</t>
  </si>
  <si>
    <t>MINISMDC050F-2</t>
  </si>
  <si>
    <t>0436500216</t>
  </si>
  <si>
    <t>744031003</t>
  </si>
  <si>
    <t>SRR0604-220ML</t>
  </si>
  <si>
    <t>OVS5MRBCR4</t>
  </si>
  <si>
    <t>OVS5MBBCR4</t>
  </si>
  <si>
    <t>M20-9960245</t>
  </si>
  <si>
    <t>1759020</t>
  </si>
  <si>
    <t>951112-8622-AR</t>
  </si>
  <si>
    <t>SI2301BDS-T1-E3</t>
  </si>
  <si>
    <t>SI2302CDS-T1-GE3</t>
  </si>
  <si>
    <t>MMBFJ270</t>
  </si>
  <si>
    <t>CRCW08053M24FKEA</t>
  </si>
  <si>
    <t>CRCW06033M83FKEA</t>
  </si>
  <si>
    <t>CRCW08051M02FKEA</t>
  </si>
  <si>
    <t>CRCW06037M50FKEA</t>
  </si>
  <si>
    <t>CRCW06032M00FKEA</t>
  </si>
  <si>
    <t>CRCW06034M22FKEA</t>
  </si>
  <si>
    <t>CRCW06034M75FKEA</t>
  </si>
  <si>
    <t>CRCW06034M99FKEA</t>
  </si>
  <si>
    <t>CRCW06035M36FKEA</t>
  </si>
  <si>
    <t>ERJ-3GEYJ105V</t>
  </si>
  <si>
    <t>ERJ-3EKF27R0V</t>
  </si>
  <si>
    <t>ERJ-3GEYJ103V</t>
  </si>
  <si>
    <t>ERJ-14NF51R1U</t>
  </si>
  <si>
    <t>RMCF2512JT24R0</t>
  </si>
  <si>
    <t>ERJ-3GEYJ104V</t>
  </si>
  <si>
    <t>RC1206FR-0722RL</t>
  </si>
  <si>
    <t>RC1206FR-0712RL</t>
  </si>
  <si>
    <t>ERJ-3GEYJ102V</t>
  </si>
  <si>
    <t>ERJ-3GEYJ101V</t>
  </si>
  <si>
    <t>ERJ-3EKF1004V</t>
  </si>
  <si>
    <t>ERJ-3EKF7153V</t>
  </si>
  <si>
    <t>ERJ-3EKF4323V</t>
  </si>
  <si>
    <t>ERJ-6GEYJ331V</t>
  </si>
  <si>
    <t>RPC2512JT12R0</t>
  </si>
  <si>
    <t>ERJ-3EKF2001V</t>
  </si>
  <si>
    <t>ERJ-3GEYJ472V</t>
  </si>
  <si>
    <t>ERJ-3GEYJ204V</t>
  </si>
  <si>
    <t>RC1608F3654CS</t>
  </si>
  <si>
    <t>RF200PF1</t>
  </si>
  <si>
    <t>MDSM-4R 12-18</t>
  </si>
  <si>
    <t>LTC3526LBEDC-2#TRMPBF</t>
  </si>
  <si>
    <t>BQ25504RGTT</t>
  </si>
  <si>
    <t>FDG6342L</t>
  </si>
  <si>
    <t>DS2482S-100+</t>
  </si>
  <si>
    <t>NLAS4157DFT2G</t>
  </si>
  <si>
    <t>PCA9306DP</t>
  </si>
  <si>
    <t>TPS3808G01DBV</t>
  </si>
  <si>
    <t>26650 3.2V 1500mAh with wire</t>
  </si>
  <si>
    <t>0603YC104KAT2A, ERJ-3GEY0R00V, ERJ-3GEYJ103V</t>
  </si>
  <si>
    <t>2340-6111TG</t>
  </si>
  <si>
    <t>MPT3.6-300</t>
  </si>
  <si>
    <t>Footprint</t>
  </si>
  <si>
    <t>RC0805</t>
  </si>
  <si>
    <t>RC1206</t>
  </si>
  <si>
    <t>RC0603</t>
  </si>
  <si>
    <t>POWERDI-123</t>
  </si>
  <si>
    <t>SOT23</t>
  </si>
  <si>
    <t>SOD-523</t>
  </si>
  <si>
    <t>SOD323F</t>
  </si>
  <si>
    <t>SOT-323</t>
  </si>
  <si>
    <t>MINISMDC260F</t>
  </si>
  <si>
    <t>MINISMD050</t>
  </si>
  <si>
    <t>BATTERYCONNECTOR</t>
  </si>
  <si>
    <t>IND-WURTH</t>
  </si>
  <si>
    <t>IND-SRR0604</t>
  </si>
  <si>
    <t>LED-OVS5MxBCR4</t>
  </si>
  <si>
    <t>HDR1X2</t>
  </si>
  <si>
    <t>HEADER1X12-2MM</t>
  </si>
  <si>
    <t>SOT23(DGS)</t>
  </si>
  <si>
    <t>rc0603</t>
  </si>
  <si>
    <t>RESC1608X06N</t>
  </si>
  <si>
    <t>RC3225X07N</t>
  </si>
  <si>
    <t>RES2512</t>
  </si>
  <si>
    <t>MDSM-4</t>
  </si>
  <si>
    <t>LTC3526</t>
  </si>
  <si>
    <t>BQ25504</t>
  </si>
  <si>
    <t>TS5A3160</t>
  </si>
  <si>
    <t>SOIC127P580X153-8N</t>
  </si>
  <si>
    <t>TSOP65P640X120-8N</t>
  </si>
  <si>
    <t>SOT95P270X145-6N</t>
  </si>
  <si>
    <t>Battery_26650</t>
  </si>
  <si>
    <t>CanadaFlag500x250</t>
  </si>
  <si>
    <t>FIDUCIAL ROUND SMALL</t>
  </si>
  <si>
    <t>MountingHole</t>
  </si>
  <si>
    <t>HDR1X4</t>
  </si>
  <si>
    <t>EdgeConnectorFingers</t>
  </si>
  <si>
    <t>SOLAR_PANEL_FLEX</t>
  </si>
  <si>
    <t>TestPoint</t>
  </si>
  <si>
    <t>Comment</t>
  </si>
  <si>
    <t>22pF</t>
  </si>
  <si>
    <t>4.7uF</t>
  </si>
  <si>
    <t>47uF</t>
  </si>
  <si>
    <t>10nF</t>
  </si>
  <si>
    <t>1uF</t>
  </si>
  <si>
    <t>0.1uF</t>
  </si>
  <si>
    <t>BAV99</t>
  </si>
  <si>
    <t>SDMG0340LC</t>
  </si>
  <si>
    <t>3.6µH</t>
  </si>
  <si>
    <t>22µH</t>
  </si>
  <si>
    <t>RED</t>
  </si>
  <si>
    <t>BLUE</t>
  </si>
  <si>
    <t>Header 1x2 RA</t>
  </si>
  <si>
    <t>3M-951112-8622-AR</t>
  </si>
  <si>
    <t>SI2301BDS</t>
  </si>
  <si>
    <t>SI2302CDS</t>
  </si>
  <si>
    <t>3.24M</t>
  </si>
  <si>
    <t>3.83M</t>
  </si>
  <si>
    <t>1.02M</t>
  </si>
  <si>
    <t>7.5M</t>
  </si>
  <si>
    <t>2M0</t>
  </si>
  <si>
    <t>4M22</t>
  </si>
  <si>
    <t>4.75M</t>
  </si>
  <si>
    <t>4M99</t>
  </si>
  <si>
    <t>5.36M</t>
  </si>
  <si>
    <t>1M0</t>
  </si>
  <si>
    <t>27R</t>
  </si>
  <si>
    <t>10K</t>
  </si>
  <si>
    <t>51R1</t>
  </si>
  <si>
    <t>24R</t>
  </si>
  <si>
    <t>100K</t>
  </si>
  <si>
    <t>22R</t>
  </si>
  <si>
    <t>12R</t>
  </si>
  <si>
    <t>1K</t>
  </si>
  <si>
    <t>100R</t>
  </si>
  <si>
    <t>715K</t>
  </si>
  <si>
    <t>432K</t>
  </si>
  <si>
    <t>330R</t>
  </si>
  <si>
    <t>2K0</t>
  </si>
  <si>
    <t>4k7</t>
  </si>
  <si>
    <t>200K</t>
  </si>
  <si>
    <t>3M65</t>
  </si>
  <si>
    <t>RF 200 Snappy Transceiver</t>
  </si>
  <si>
    <t>MDSM-4R Reed Switch</t>
  </si>
  <si>
    <t>LTC3526LBEDC-2</t>
  </si>
  <si>
    <t>BQ25504RGT</t>
  </si>
  <si>
    <t>NLAS4157D</t>
  </si>
  <si>
    <t>Fitted</t>
  </si>
  <si>
    <t>Not Fitted</t>
  </si>
  <si>
    <t>N:\LloydJ\CableNodeRevF\CableNodeRevF.PrjPcb</t>
  </si>
  <si>
    <t>Bill of Materials For Variant [Base Variant to Contract Manufacturer] of Project [CableNodeRevF.PrjPcb] (No PCB Document Selected)</t>
  </si>
  <si>
    <t>124</t>
  </si>
  <si>
    <t>31/03/2014 1:14:22 PM</t>
  </si>
  <si>
    <t>BOM_PartType</t>
  </si>
  <si>
    <t>BOM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</si>
</sst>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C09]dd\-mmm\-yy;@"/>
    <numFmt numFmtId="165" formatCode="[$-409]h:mm:ss\ AM/PM;@"/>
  </numFmts>
  <fonts count="12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24"/>
      <name val="Arial"/>
      <family val="2"/>
    </font>
    <font>
      <b/>
      <sz val="12"/>
      <name val="Arial"/>
      <family val="2"/>
    </font>
    <font>
      <b/>
      <sz val="22"/>
      <name val="Arial"/>
      <family val="2"/>
    </font>
    <font>
      <b/>
      <sz val="9"/>
      <color indexed="81"/>
      <name val="Tahoma"/>
      <family val="2"/>
    </font>
    <font>
      <sz val="10"/>
      <color rgb="FF00000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5" fillId="0" borderId="0"/>
  </cellStyleXfs>
  <cellXfs count="87">
    <xf numFmtId="0" fontId="0" fillId="0" borderId="0" xfId="0"/>
    <xf numFmtId="0" fontId="0" fillId="0" borderId="2" xfId="0" applyBorder="1" applyAlignment="1"/>
    <xf numFmtId="0" fontId="0" fillId="0" borderId="0" xfId="0" applyBorder="1" applyAlignment="1"/>
    <xf numFmtId="0" fontId="0" fillId="0" borderId="0" xfId="0" applyAlignment="1">
      <alignment vertical="top"/>
    </xf>
    <xf numFmtId="0" fontId="0" fillId="0" borderId="3" xfId="0" applyBorder="1" applyAlignment="1"/>
    <xf numFmtId="0" fontId="4" fillId="0" borderId="0" xfId="0" applyFont="1" applyBorder="1" applyAlignment="1"/>
    <xf numFmtId="164" fontId="0" fillId="0" borderId="4" xfId="0" applyNumberFormat="1" applyBorder="1" applyAlignment="1">
      <alignment horizontal="left"/>
    </xf>
    <xf numFmtId="165" fontId="0" fillId="0" borderId="4" xfId="0" applyNumberFormat="1" applyBorder="1" applyAlignment="1">
      <alignment horizontal="left"/>
    </xf>
    <xf numFmtId="0" fontId="5" fillId="0" borderId="0" xfId="0" applyFont="1" applyAlignment="1">
      <alignment vertical="top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/>
    </xf>
    <xf numFmtId="0" fontId="2" fillId="2" borderId="5" xfId="0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2" fillId="3" borderId="7" xfId="0" applyFont="1" applyFill="1" applyBorder="1" applyAlignment="1">
      <alignment horizontal="left" vertical="center"/>
    </xf>
    <xf numFmtId="0" fontId="2" fillId="2" borderId="7" xfId="0" applyFont="1" applyFill="1" applyBorder="1" applyAlignment="1">
      <alignment horizontal="left" vertical="center"/>
    </xf>
    <xf numFmtId="0" fontId="2" fillId="3" borderId="9" xfId="0" applyFont="1" applyFill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0" fillId="0" borderId="0" xfId="0" applyBorder="1" applyAlignment="1">
      <alignment horizontal="left"/>
    </xf>
    <xf numFmtId="0" fontId="2" fillId="0" borderId="0" xfId="0" applyFont="1" applyAlignment="1">
      <alignment vertical="center"/>
    </xf>
    <xf numFmtId="0" fontId="1" fillId="0" borderId="2" xfId="0" applyNumberFormat="1" applyFont="1" applyFill="1" applyBorder="1" applyAlignment="1" applyProtection="1">
      <alignment horizontal="left" vertical="top"/>
      <protection locked="0"/>
    </xf>
    <xf numFmtId="0" fontId="1" fillId="0" borderId="2" xfId="0" applyNumberFormat="1" applyFont="1" applyFill="1" applyBorder="1" applyAlignment="1" applyProtection="1">
      <alignment vertical="top"/>
      <protection locked="0"/>
    </xf>
    <xf numFmtId="0" fontId="1" fillId="0" borderId="12" xfId="0" applyNumberFormat="1" applyFont="1" applyFill="1" applyBorder="1" applyAlignment="1" applyProtection="1">
      <alignment vertical="top"/>
      <protection locked="0"/>
    </xf>
    <xf numFmtId="0" fontId="2" fillId="0" borderId="2" xfId="0" applyFont="1" applyBorder="1" applyAlignment="1">
      <alignment horizontal="left"/>
    </xf>
    <xf numFmtId="0" fontId="2" fillId="0" borderId="2" xfId="0" applyFont="1" applyBorder="1" applyAlignment="1"/>
    <xf numFmtId="0" fontId="0" fillId="0" borderId="12" xfId="0" applyBorder="1" applyAlignment="1"/>
    <xf numFmtId="0" fontId="2" fillId="0" borderId="0" xfId="0" applyFont="1" applyBorder="1" applyAlignment="1"/>
    <xf numFmtId="0" fontId="0" fillId="0" borderId="4" xfId="0" applyBorder="1" applyAlignment="1"/>
    <xf numFmtId="0" fontId="0" fillId="0" borderId="14" xfId="0" applyBorder="1" applyAlignment="1">
      <alignment horizontal="left" vertical="top"/>
    </xf>
    <xf numFmtId="0" fontId="2" fillId="0" borderId="12" xfId="0" applyFont="1" applyBorder="1" applyAlignment="1"/>
    <xf numFmtId="0" fontId="0" fillId="0" borderId="0" xfId="0" applyBorder="1" applyAlignment="1">
      <alignment vertical="top"/>
    </xf>
    <xf numFmtId="0" fontId="5" fillId="5" borderId="16" xfId="0" applyFont="1" applyFill="1" applyBorder="1" applyAlignment="1">
      <alignment horizontal="left" vertical="top" wrapText="1"/>
    </xf>
    <xf numFmtId="0" fontId="5" fillId="4" borderId="16" xfId="0" applyFont="1" applyFill="1" applyBorder="1" applyAlignment="1">
      <alignment horizontal="left" vertical="top" wrapText="1"/>
    </xf>
    <xf numFmtId="0" fontId="1" fillId="6" borderId="14" xfId="0" applyNumberFormat="1" applyFont="1" applyFill="1" applyBorder="1" applyAlignment="1" applyProtection="1">
      <alignment horizontal="left" vertical="top" wrapText="1"/>
      <protection locked="0"/>
    </xf>
    <xf numFmtId="0" fontId="6" fillId="6" borderId="14" xfId="0" applyNumberFormat="1" applyFont="1" applyFill="1" applyBorder="1" applyAlignment="1" applyProtection="1">
      <alignment vertical="top" wrapText="1"/>
      <protection locked="0"/>
    </xf>
    <xf numFmtId="0" fontId="6" fillId="6" borderId="0" xfId="0" applyNumberFormat="1" applyFont="1" applyFill="1" applyBorder="1" applyAlignment="1" applyProtection="1">
      <alignment vertical="top" wrapText="1"/>
      <protection locked="0"/>
    </xf>
    <xf numFmtId="0" fontId="6" fillId="6" borderId="3" xfId="0" applyNumberFormat="1" applyFont="1" applyFill="1" applyBorder="1" applyAlignment="1" applyProtection="1">
      <alignment vertical="top" wrapText="1"/>
      <protection locked="0"/>
    </xf>
    <xf numFmtId="0" fontId="1" fillId="6" borderId="2" xfId="0" applyNumberFormat="1" applyFont="1" applyFill="1" applyBorder="1" applyAlignment="1" applyProtection="1">
      <alignment horizontal="left" vertical="top" wrapText="1"/>
      <protection locked="0"/>
    </xf>
    <xf numFmtId="0" fontId="6" fillId="6" borderId="2" xfId="0" applyNumberFormat="1" applyFont="1" applyFill="1" applyBorder="1" applyAlignment="1" applyProtection="1">
      <alignment vertical="top" wrapText="1"/>
      <protection locked="0"/>
    </xf>
    <xf numFmtId="0" fontId="6" fillId="6" borderId="12" xfId="0" applyNumberFormat="1" applyFont="1" applyFill="1" applyBorder="1" applyAlignment="1" applyProtection="1">
      <alignment vertical="top" wrapText="1"/>
      <protection locked="0"/>
    </xf>
    <xf numFmtId="0" fontId="3" fillId="7" borderId="17" xfId="0" applyFont="1" applyFill="1" applyBorder="1" applyAlignment="1">
      <alignment horizontal="left" vertical="center"/>
    </xf>
    <xf numFmtId="0" fontId="5" fillId="0" borderId="16" xfId="0" applyFont="1" applyBorder="1" applyAlignment="1">
      <alignment horizontal="left" vertical="top" wrapText="1"/>
    </xf>
    <xf numFmtId="0" fontId="0" fillId="7" borderId="0" xfId="0" applyFill="1" applyBorder="1" applyAlignment="1">
      <alignment horizontal="left"/>
    </xf>
    <xf numFmtId="0" fontId="0" fillId="7" borderId="19" xfId="0" applyFill="1" applyBorder="1" applyAlignment="1"/>
    <xf numFmtId="0" fontId="7" fillId="7" borderId="20" xfId="0" applyFont="1" applyFill="1" applyBorder="1" applyAlignment="1">
      <alignment vertical="center"/>
    </xf>
    <xf numFmtId="0" fontId="9" fillId="7" borderId="20" xfId="0" applyFont="1" applyFill="1" applyBorder="1" applyAlignment="1">
      <alignment vertical="center"/>
    </xf>
    <xf numFmtId="0" fontId="8" fillId="7" borderId="20" xfId="0" applyFont="1" applyFill="1" applyBorder="1" applyAlignment="1">
      <alignment vertical="center"/>
    </xf>
    <xf numFmtId="0" fontId="0" fillId="7" borderId="20" xfId="0" applyFill="1" applyBorder="1" applyAlignment="1"/>
    <xf numFmtId="0" fontId="0" fillId="7" borderId="21" xfId="0" applyFill="1" applyBorder="1" applyAlignment="1"/>
    <xf numFmtId="0" fontId="0" fillId="7" borderId="20" xfId="0" applyFill="1" applyBorder="1" applyAlignment="1">
      <alignment vertical="top"/>
    </xf>
    <xf numFmtId="0" fontId="3" fillId="7" borderId="16" xfId="0" applyFont="1" applyFill="1" applyBorder="1" applyAlignment="1">
      <alignment horizontal="center" vertical="center"/>
    </xf>
    <xf numFmtId="0" fontId="5" fillId="0" borderId="16" xfId="0" applyFont="1" applyBorder="1" applyAlignment="1">
      <alignment horizontal="center" vertical="top" wrapText="1"/>
    </xf>
    <xf numFmtId="0" fontId="5" fillId="5" borderId="16" xfId="0" applyFont="1" applyFill="1" applyBorder="1" applyAlignment="1">
      <alignment horizontal="center" vertical="top" wrapText="1"/>
    </xf>
    <xf numFmtId="0" fontId="3" fillId="7" borderId="16" xfId="0" applyFont="1" applyFill="1" applyBorder="1" applyAlignment="1">
      <alignment horizontal="left" vertical="center"/>
    </xf>
    <xf numFmtId="0" fontId="2" fillId="7" borderId="16" xfId="1" applyFont="1" applyFill="1" applyBorder="1" applyAlignment="1">
      <alignment horizontal="left" vertical="center"/>
    </xf>
    <xf numFmtId="1" fontId="0" fillId="8" borderId="22" xfId="0" applyNumberFormat="1" applyFill="1" applyBorder="1" applyAlignment="1">
      <alignment horizontal="left" vertical="center"/>
    </xf>
    <xf numFmtId="0" fontId="0" fillId="0" borderId="0" xfId="0" applyBorder="1" applyAlignment="1">
      <alignment horizontal="left" vertical="top"/>
    </xf>
    <xf numFmtId="1" fontId="0" fillId="4" borderId="0" xfId="0" applyNumberFormat="1" applyFill="1" applyBorder="1" applyAlignment="1">
      <alignment horizontal="left" vertical="top"/>
    </xf>
    <xf numFmtId="0" fontId="0" fillId="0" borderId="15" xfId="0" applyBorder="1" applyAlignment="1">
      <alignment horizontal="left" vertical="top"/>
    </xf>
    <xf numFmtId="0" fontId="4" fillId="0" borderId="0" xfId="0" applyFont="1" applyBorder="1" applyAlignment="1">
      <alignment horizontal="right"/>
    </xf>
    <xf numFmtId="0" fontId="4" fillId="0" borderId="16" xfId="0" applyFont="1" applyBorder="1" applyAlignment="1">
      <alignment horizontal="left"/>
    </xf>
    <xf numFmtId="0" fontId="0" fillId="7" borderId="0" xfId="0" applyFill="1" applyBorder="1" applyAlignment="1">
      <alignment horizontal="center"/>
    </xf>
    <xf numFmtId="0" fontId="0" fillId="0" borderId="1" xfId="0" applyBorder="1" applyAlignment="1">
      <alignment horizontal="center"/>
    </xf>
    <xf numFmtId="14" fontId="0" fillId="0" borderId="13" xfId="0" applyNumberFormat="1" applyBorder="1" applyAlignment="1">
      <alignment horizontal="center" vertical="top"/>
    </xf>
    <xf numFmtId="0" fontId="1" fillId="0" borderId="11" xfId="0" applyNumberFormat="1" applyFont="1" applyFill="1" applyBorder="1" applyAlignment="1" applyProtection="1">
      <alignment horizontal="center" vertical="top"/>
      <protection locked="0"/>
    </xf>
    <xf numFmtId="0" fontId="6" fillId="6" borderId="13" xfId="0" applyNumberFormat="1" applyFont="1" applyFill="1" applyBorder="1" applyAlignment="1" applyProtection="1">
      <alignment horizontal="center" vertical="top" wrapText="1"/>
      <protection locked="0"/>
    </xf>
    <xf numFmtId="0" fontId="1" fillId="6" borderId="11" xfId="0" applyNumberFormat="1" applyFont="1" applyFill="1" applyBorder="1" applyAlignment="1" applyProtection="1">
      <alignment horizontal="center" vertical="top" wrapText="1"/>
      <protection locked="0"/>
    </xf>
    <xf numFmtId="0" fontId="0" fillId="0" borderId="0" xfId="0" applyAlignment="1">
      <alignment horizontal="center" vertical="top"/>
    </xf>
    <xf numFmtId="0" fontId="2" fillId="0" borderId="1" xfId="0" applyFont="1" applyBorder="1" applyAlignment="1">
      <alignment horizontal="left"/>
    </xf>
    <xf numFmtId="0" fontId="2" fillId="0" borderId="11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0" xfId="0" applyAlignment="1">
      <alignment horizontal="right" vertical="top"/>
    </xf>
    <xf numFmtId="0" fontId="1" fillId="0" borderId="0" xfId="0" applyFont="1" applyBorder="1" applyAlignment="1"/>
    <xf numFmtId="0" fontId="0" fillId="0" borderId="2" xfId="0" quotePrefix="1" applyBorder="1" applyAlignment="1">
      <alignment horizontal="left"/>
    </xf>
    <xf numFmtId="0" fontId="2" fillId="0" borderId="0" xfId="0" quotePrefix="1" applyFont="1" applyBorder="1" applyAlignment="1">
      <alignment horizontal="left"/>
    </xf>
    <xf numFmtId="0" fontId="2" fillId="0" borderId="4" xfId="0" quotePrefix="1" applyFont="1" applyBorder="1" applyAlignment="1">
      <alignment horizontal="left"/>
    </xf>
    <xf numFmtId="0" fontId="2" fillId="0" borderId="2" xfId="0" quotePrefix="1" applyFont="1" applyBorder="1" applyAlignment="1">
      <alignment horizontal="left"/>
    </xf>
    <xf numFmtId="0" fontId="9" fillId="7" borderId="20" xfId="0" quotePrefix="1" applyFont="1" applyFill="1" applyBorder="1" applyAlignment="1">
      <alignment vertical="center"/>
    </xf>
    <xf numFmtId="0" fontId="3" fillId="7" borderId="16" xfId="0" quotePrefix="1" applyFont="1" applyFill="1" applyBorder="1" applyAlignment="1">
      <alignment horizontal="left" vertical="center"/>
    </xf>
    <xf numFmtId="0" fontId="5" fillId="0" borderId="16" xfId="0" quotePrefix="1" applyFont="1" applyBorder="1" applyAlignment="1">
      <alignment horizontal="left" vertical="top" wrapText="1"/>
    </xf>
    <xf numFmtId="0" fontId="5" fillId="5" borderId="16" xfId="0" quotePrefix="1" applyFont="1" applyFill="1" applyBorder="1" applyAlignment="1">
      <alignment horizontal="left" vertical="top" wrapText="1"/>
    </xf>
    <xf numFmtId="0" fontId="3" fillId="7" borderId="17" xfId="0" quotePrefix="1" applyFont="1" applyFill="1" applyBorder="1" applyAlignment="1">
      <alignment horizontal="left" vertical="center"/>
    </xf>
    <xf numFmtId="0" fontId="2" fillId="7" borderId="18" xfId="1" quotePrefix="1" applyFont="1" applyFill="1" applyBorder="1" applyAlignment="1">
      <alignment horizontal="left" vertical="center"/>
    </xf>
    <xf numFmtId="0" fontId="0" fillId="2" borderId="6" xfId="0" quotePrefix="1" applyFill="1" applyBorder="1" applyAlignment="1">
      <alignment horizontal="left" vertical="center"/>
    </xf>
    <xf numFmtId="0" fontId="0" fillId="3" borderId="8" xfId="0" quotePrefix="1" applyFill="1" applyBorder="1" applyAlignment="1">
      <alignment horizontal="left" vertical="center"/>
    </xf>
    <xf numFmtId="0" fontId="0" fillId="2" borderId="8" xfId="0" quotePrefix="1" applyFill="1" applyBorder="1" applyAlignment="1">
      <alignment horizontal="left" vertical="center"/>
    </xf>
    <xf numFmtId="0" fontId="0" fillId="3" borderId="10" xfId="0" quotePrefix="1" applyFill="1" applyBorder="1" applyAlignment="1">
      <alignment horizontal="left" vertical="center"/>
    </xf>
  </cellXfs>
  <cellStyles count="2">
    <cellStyle name="Normal" xfId="0" builtinId="0"/>
    <cellStyle name="Normal 2" xfId="1"/>
  </cellStyles>
  <dxfs count="72"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5" tint="0.39994506668294322"/>
        </patternFill>
      </fill>
    </dxf>
  </dxfs>
  <tableStyles count="0" defaultTableStyle="TableStyleMedium9" defaultPivotStyle="PivotStyleLight16"/>
  <colors>
    <mruColors>
      <color rgb="FFFFFF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485775</xdr:colOff>
      <xdr:row>1</xdr:row>
      <xdr:rowOff>0</xdr:rowOff>
    </xdr:to>
    <xdr:pic>
      <xdr:nvPicPr>
        <xdr:cNvPr id="1055" name="Picture 2" descr="OPIsystems.jp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3943350" cy="11620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66675</xdr:colOff>
          <xdr:row>2</xdr:row>
          <xdr:rowOff>47625</xdr:rowOff>
        </xdr:from>
        <xdr:to>
          <xdr:col>7</xdr:col>
          <xdr:colOff>781050</xdr:colOff>
          <xdr:row>3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Spread Rows Now!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O95"/>
  <sheetViews>
    <sheetView showGridLines="0" tabSelected="1" zoomScaleNormal="100" workbookViewId="0">
      <pane ySplit="9" topLeftCell="A10" activePane="bottomLeft" state="frozen"/>
      <selection pane="bottomLeft" activeCell="E8" sqref="E8"/>
    </sheetView>
  </sheetViews>
  <sheetFormatPr defaultRowHeight="12.75" x14ac:dyDescent="0.2"/>
  <cols>
    <col min="1" max="1" width="9.140625" style="66" customWidth="1"/>
    <col min="2" max="2" width="19.140625" style="9" customWidth="1"/>
    <col min="3" max="3" width="10.7109375" style="9" customWidth="1"/>
    <col min="4" max="4" width="12.85546875" style="3" customWidth="1"/>
    <col min="5" max="7" width="8.5703125" style="3" customWidth="1"/>
    <col min="8" max="8" width="12.42578125" style="3" customWidth="1"/>
    <col min="9" max="9" width="38.85546875" style="3" customWidth="1"/>
    <col min="10" max="10" width="15.42578125" style="3" customWidth="1"/>
    <col min="11" max="11" width="22" style="3" customWidth="1"/>
    <col min="12" max="12" width="15.28515625" style="3" customWidth="1"/>
    <col min="13" max="13" width="14.7109375" style="3" customWidth="1"/>
    <col min="14" max="14" width="11" style="3" customWidth="1"/>
    <col min="15" max="15" width="15.5703125" style="3" customWidth="1"/>
    <col min="16" max="16384" width="9.140625" style="3"/>
  </cols>
  <sheetData>
    <row r="1" spans="1:15" ht="91.5" customHeight="1" thickBot="1" x14ac:dyDescent="0.25">
      <c r="A1" s="60"/>
      <c r="B1" s="41"/>
      <c r="C1" s="41"/>
      <c r="D1" s="42"/>
      <c r="E1" s="43"/>
      <c r="F1" s="43" t="s">
        <v>18</v>
      </c>
      <c r="G1" s="44"/>
      <c r="H1" s="44"/>
      <c r="I1" s="48"/>
      <c r="J1" s="77" t="s">
        <v>30</v>
      </c>
      <c r="K1" s="45"/>
      <c r="L1" s="46"/>
      <c r="M1" s="46"/>
      <c r="N1" s="46"/>
      <c r="O1" s="47"/>
    </row>
    <row r="2" spans="1:15" ht="23.25" customHeight="1" x14ac:dyDescent="0.2">
      <c r="A2" s="67" t="s">
        <v>1</v>
      </c>
      <c r="B2" s="17"/>
      <c r="C2" s="74" t="s">
        <v>30</v>
      </c>
      <c r="D2" s="25"/>
      <c r="E2" s="25"/>
      <c r="F2" s="25"/>
      <c r="G2" s="2"/>
      <c r="H2" s="2"/>
      <c r="I2" s="2"/>
      <c r="J2" s="2"/>
      <c r="K2" s="2"/>
      <c r="L2" s="2"/>
      <c r="M2" s="2"/>
      <c r="N2" s="2"/>
      <c r="O2" s="4"/>
    </row>
    <row r="3" spans="1:15" ht="17.25" customHeight="1" x14ac:dyDescent="0.2">
      <c r="A3" s="67" t="s">
        <v>17</v>
      </c>
      <c r="B3" s="17"/>
      <c r="C3" s="75" t="s">
        <v>30</v>
      </c>
      <c r="D3" s="26"/>
      <c r="E3" s="2"/>
      <c r="F3" s="2"/>
      <c r="G3" s="2"/>
      <c r="H3" s="2"/>
      <c r="I3" s="72" t="s">
        <v>28</v>
      </c>
      <c r="J3" s="2"/>
      <c r="K3" s="2"/>
      <c r="L3" s="2"/>
      <c r="M3" s="2"/>
      <c r="N3" s="2"/>
      <c r="O3" s="4"/>
    </row>
    <row r="4" spans="1:15" ht="17.25" customHeight="1" x14ac:dyDescent="0.2">
      <c r="A4" s="67" t="s">
        <v>2</v>
      </c>
      <c r="B4" s="17"/>
      <c r="C4" s="76" t="s">
        <v>31</v>
      </c>
      <c r="D4" s="1"/>
      <c r="E4" s="2"/>
      <c r="G4" s="2"/>
      <c r="H4" s="2"/>
      <c r="I4" s="2"/>
      <c r="J4" s="2"/>
      <c r="K4" s="2"/>
      <c r="L4" s="2"/>
      <c r="M4" s="2"/>
      <c r="N4" s="2"/>
      <c r="O4" s="4"/>
    </row>
    <row r="5" spans="1:15" x14ac:dyDescent="0.2">
      <c r="A5" s="68"/>
      <c r="B5" s="22"/>
      <c r="C5" s="16"/>
      <c r="D5" s="1"/>
      <c r="E5" s="1"/>
      <c r="F5" s="1"/>
      <c r="G5" s="23"/>
      <c r="H5" s="23"/>
      <c r="I5" s="23"/>
      <c r="J5" s="23"/>
      <c r="K5" s="23"/>
      <c r="L5" s="23"/>
      <c r="M5" s="23"/>
      <c r="N5" s="23"/>
      <c r="O5" s="28"/>
    </row>
    <row r="6" spans="1:15" ht="15.75" customHeight="1" x14ac:dyDescent="0.2">
      <c r="A6" s="69" t="s">
        <v>21</v>
      </c>
      <c r="B6" s="73" t="s">
        <v>29</v>
      </c>
      <c r="C6" s="73" t="s">
        <v>32</v>
      </c>
      <c r="D6" s="5"/>
      <c r="E6" s="5"/>
      <c r="F6" s="5"/>
      <c r="G6" s="2"/>
      <c r="H6" s="2"/>
      <c r="I6" s="2"/>
      <c r="J6" s="2"/>
      <c r="K6" s="2"/>
      <c r="L6" s="2"/>
      <c r="M6" s="2"/>
      <c r="N6" s="2"/>
      <c r="O6" s="4"/>
    </row>
    <row r="7" spans="1:15" ht="15.75" customHeight="1" x14ac:dyDescent="0.2">
      <c r="A7" s="70" t="s">
        <v>0</v>
      </c>
      <c r="B7" s="6">
        <f ca="1">TODAY()</f>
        <v>41729</v>
      </c>
      <c r="C7" s="7">
        <f ca="1">NOW()</f>
        <v>41729.552179745369</v>
      </c>
      <c r="D7" s="5"/>
      <c r="E7" s="58" t="s">
        <v>26</v>
      </c>
      <c r="F7" s="59">
        <v>0</v>
      </c>
      <c r="G7" s="2"/>
      <c r="H7" s="2"/>
      <c r="I7" s="2"/>
      <c r="K7" s="2"/>
      <c r="L7" s="2"/>
      <c r="M7" s="2"/>
      <c r="N7" s="2"/>
      <c r="O7" s="4"/>
    </row>
    <row r="8" spans="1:15" ht="15.75" customHeight="1" x14ac:dyDescent="0.2">
      <c r="A8" s="61"/>
      <c r="B8" s="17"/>
      <c r="C8" s="17"/>
      <c r="D8" s="2"/>
      <c r="E8" s="2"/>
      <c r="F8" s="2"/>
      <c r="G8" s="2"/>
      <c r="H8" s="2"/>
      <c r="I8" s="1"/>
      <c r="J8" s="1"/>
      <c r="K8" s="1"/>
      <c r="L8" s="1"/>
      <c r="M8" s="1"/>
      <c r="N8" s="1"/>
      <c r="O8" s="24"/>
    </row>
    <row r="9" spans="1:15" s="18" customFormat="1" ht="19.5" customHeight="1" x14ac:dyDescent="0.2">
      <c r="A9" s="49" t="s">
        <v>20</v>
      </c>
      <c r="B9" s="78" t="s">
        <v>33</v>
      </c>
      <c r="C9" s="81" t="s">
        <v>107</v>
      </c>
      <c r="D9" s="81" t="s">
        <v>108</v>
      </c>
      <c r="E9" s="52" t="s">
        <v>22</v>
      </c>
      <c r="F9" s="39" t="s">
        <v>25</v>
      </c>
      <c r="G9" s="52" t="s">
        <v>24</v>
      </c>
      <c r="H9" s="39" t="s">
        <v>19</v>
      </c>
      <c r="I9" s="81" t="s">
        <v>172</v>
      </c>
      <c r="J9" s="81" t="s">
        <v>245</v>
      </c>
      <c r="K9" s="81" t="s">
        <v>278</v>
      </c>
      <c r="L9" s="81" t="s">
        <v>346</v>
      </c>
      <c r="M9" s="82" t="s">
        <v>383</v>
      </c>
      <c r="N9" s="82" t="s">
        <v>431</v>
      </c>
      <c r="O9" s="53" t="s">
        <v>23</v>
      </c>
    </row>
    <row r="10" spans="1:15" s="8" customFormat="1" ht="25.5" customHeight="1" x14ac:dyDescent="0.2">
      <c r="A10" s="50">
        <f t="shared" ref="A10:A41" si="0">ROW(A10)- ROW($A$9)</f>
        <v>1</v>
      </c>
      <c r="B10" s="79" t="s">
        <v>34</v>
      </c>
      <c r="C10" s="40">
        <v>1</v>
      </c>
      <c r="D10" s="79" t="s">
        <v>109</v>
      </c>
      <c r="E10" s="40">
        <f t="shared" ref="E10:E41" si="1">C10*$F$7</f>
        <v>0</v>
      </c>
      <c r="F10" s="40"/>
      <c r="G10" s="31"/>
      <c r="H10" s="31"/>
      <c r="I10" s="79" t="s">
        <v>173</v>
      </c>
      <c r="J10" s="79" t="s">
        <v>246</v>
      </c>
      <c r="K10" s="79" t="s">
        <v>279</v>
      </c>
      <c r="L10" s="79" t="s">
        <v>347</v>
      </c>
      <c r="M10" s="79" t="s">
        <v>384</v>
      </c>
      <c r="N10" s="79" t="s">
        <v>431</v>
      </c>
      <c r="O10" s="40"/>
    </row>
    <row r="11" spans="1:15" s="8" customFormat="1" x14ac:dyDescent="0.2">
      <c r="A11" s="51">
        <f t="shared" si="0"/>
        <v>2</v>
      </c>
      <c r="B11" s="80" t="s">
        <v>35</v>
      </c>
      <c r="C11" s="30">
        <v>3</v>
      </c>
      <c r="D11" s="80" t="s">
        <v>110</v>
      </c>
      <c r="E11" s="30">
        <f t="shared" si="1"/>
        <v>0</v>
      </c>
      <c r="F11" s="30"/>
      <c r="G11" s="30"/>
      <c r="H11" s="30"/>
      <c r="I11" s="80" t="s">
        <v>174</v>
      </c>
      <c r="J11" s="80" t="s">
        <v>247</v>
      </c>
      <c r="K11" s="80" t="s">
        <v>280</v>
      </c>
      <c r="L11" s="80" t="s">
        <v>347</v>
      </c>
      <c r="M11" s="80" t="s">
        <v>385</v>
      </c>
      <c r="N11" s="80" t="s">
        <v>431</v>
      </c>
      <c r="O11" s="30"/>
    </row>
    <row r="12" spans="1:15" s="8" customFormat="1" x14ac:dyDescent="0.2">
      <c r="A12" s="50">
        <f t="shared" si="0"/>
        <v>3</v>
      </c>
      <c r="B12" s="79" t="s">
        <v>36</v>
      </c>
      <c r="C12" s="40">
        <v>2</v>
      </c>
      <c r="D12" s="79" t="s">
        <v>111</v>
      </c>
      <c r="E12" s="40">
        <f t="shared" si="1"/>
        <v>0</v>
      </c>
      <c r="F12" s="40"/>
      <c r="G12" s="31"/>
      <c r="H12" s="31"/>
      <c r="I12" s="79" t="s">
        <v>175</v>
      </c>
      <c r="J12" s="79" t="s">
        <v>247</v>
      </c>
      <c r="K12" s="79" t="s">
        <v>281</v>
      </c>
      <c r="L12" s="79" t="s">
        <v>348</v>
      </c>
      <c r="M12" s="79" t="s">
        <v>386</v>
      </c>
      <c r="N12" s="79" t="s">
        <v>431</v>
      </c>
      <c r="O12" s="40"/>
    </row>
    <row r="13" spans="1:15" s="8" customFormat="1" x14ac:dyDescent="0.2">
      <c r="A13" s="51">
        <f t="shared" si="0"/>
        <v>4</v>
      </c>
      <c r="B13" s="80" t="s">
        <v>37</v>
      </c>
      <c r="C13" s="30">
        <v>1</v>
      </c>
      <c r="D13" s="80" t="s">
        <v>112</v>
      </c>
      <c r="E13" s="30">
        <f t="shared" si="1"/>
        <v>0</v>
      </c>
      <c r="F13" s="30"/>
      <c r="G13" s="30"/>
      <c r="H13" s="30"/>
      <c r="I13" s="80" t="s">
        <v>176</v>
      </c>
      <c r="J13" s="80" t="s">
        <v>248</v>
      </c>
      <c r="K13" s="80" t="s">
        <v>282</v>
      </c>
      <c r="L13" s="80" t="s">
        <v>347</v>
      </c>
      <c r="M13" s="80" t="s">
        <v>387</v>
      </c>
      <c r="N13" s="80" t="s">
        <v>431</v>
      </c>
      <c r="O13" s="30"/>
    </row>
    <row r="14" spans="1:15" s="8" customFormat="1" x14ac:dyDescent="0.2">
      <c r="A14" s="50">
        <f t="shared" si="0"/>
        <v>5</v>
      </c>
      <c r="B14" s="79" t="s">
        <v>38</v>
      </c>
      <c r="C14" s="40">
        <v>3</v>
      </c>
      <c r="D14" s="79" t="s">
        <v>113</v>
      </c>
      <c r="E14" s="40">
        <f t="shared" si="1"/>
        <v>0</v>
      </c>
      <c r="F14" s="40"/>
      <c r="G14" s="31"/>
      <c r="H14" s="31"/>
      <c r="I14" s="79" t="s">
        <v>177</v>
      </c>
      <c r="J14" s="79" t="s">
        <v>248</v>
      </c>
      <c r="K14" s="79" t="s">
        <v>283</v>
      </c>
      <c r="L14" s="79" t="s">
        <v>349</v>
      </c>
      <c r="M14" s="79" t="s">
        <v>387</v>
      </c>
      <c r="N14" s="79" t="s">
        <v>431</v>
      </c>
      <c r="O14" s="40"/>
    </row>
    <row r="15" spans="1:15" s="8" customFormat="1" x14ac:dyDescent="0.2">
      <c r="A15" s="51">
        <f t="shared" si="0"/>
        <v>6</v>
      </c>
      <c r="B15" s="80" t="s">
        <v>39</v>
      </c>
      <c r="C15" s="30">
        <v>1</v>
      </c>
      <c r="D15" s="80" t="s">
        <v>114</v>
      </c>
      <c r="E15" s="30">
        <f t="shared" si="1"/>
        <v>0</v>
      </c>
      <c r="F15" s="30"/>
      <c r="G15" s="30"/>
      <c r="H15" s="30"/>
      <c r="I15" s="80" t="s">
        <v>178</v>
      </c>
      <c r="J15" s="80" t="s">
        <v>249</v>
      </c>
      <c r="K15" s="80" t="s">
        <v>284</v>
      </c>
      <c r="L15" s="80" t="s">
        <v>349</v>
      </c>
      <c r="M15" s="80" t="s">
        <v>388</v>
      </c>
      <c r="N15" s="80" t="s">
        <v>431</v>
      </c>
      <c r="O15" s="30"/>
    </row>
    <row r="16" spans="1:15" s="8" customFormat="1" ht="25.5" x14ac:dyDescent="0.2">
      <c r="A16" s="50">
        <f t="shared" si="0"/>
        <v>7</v>
      </c>
      <c r="B16" s="79" t="s">
        <v>40</v>
      </c>
      <c r="C16" s="40">
        <v>5</v>
      </c>
      <c r="D16" s="79" t="s">
        <v>115</v>
      </c>
      <c r="E16" s="40">
        <f t="shared" si="1"/>
        <v>0</v>
      </c>
      <c r="F16" s="40"/>
      <c r="G16" s="31"/>
      <c r="H16" s="31"/>
      <c r="I16" s="79" t="s">
        <v>179</v>
      </c>
      <c r="J16" s="79" t="s">
        <v>249</v>
      </c>
      <c r="K16" s="79" t="s">
        <v>285</v>
      </c>
      <c r="L16" s="79" t="s">
        <v>349</v>
      </c>
      <c r="M16" s="79" t="s">
        <v>389</v>
      </c>
      <c r="N16" s="79" t="s">
        <v>431</v>
      </c>
      <c r="O16" s="40"/>
    </row>
    <row r="17" spans="1:15" s="8" customFormat="1" x14ac:dyDescent="0.2">
      <c r="A17" s="51">
        <f t="shared" si="0"/>
        <v>8</v>
      </c>
      <c r="B17" s="80" t="s">
        <v>41</v>
      </c>
      <c r="C17" s="30">
        <v>2</v>
      </c>
      <c r="D17" s="80" t="s">
        <v>116</v>
      </c>
      <c r="E17" s="30">
        <f t="shared" si="1"/>
        <v>0</v>
      </c>
      <c r="F17" s="30"/>
      <c r="G17" s="30"/>
      <c r="H17" s="30"/>
      <c r="I17" s="80" t="s">
        <v>180</v>
      </c>
      <c r="J17" s="80" t="s">
        <v>250</v>
      </c>
      <c r="K17" s="80" t="s">
        <v>286</v>
      </c>
      <c r="L17" s="80" t="s">
        <v>350</v>
      </c>
      <c r="M17" s="80" t="s">
        <v>286</v>
      </c>
      <c r="N17" s="80" t="s">
        <v>431</v>
      </c>
      <c r="O17" s="30"/>
    </row>
    <row r="18" spans="1:15" s="8" customFormat="1" x14ac:dyDescent="0.2">
      <c r="A18" s="50">
        <f t="shared" si="0"/>
        <v>9</v>
      </c>
      <c r="B18" s="79" t="s">
        <v>42</v>
      </c>
      <c r="C18" s="40">
        <v>3</v>
      </c>
      <c r="D18" s="79" t="s">
        <v>117</v>
      </c>
      <c r="E18" s="40">
        <f t="shared" si="1"/>
        <v>0</v>
      </c>
      <c r="F18" s="40"/>
      <c r="G18" s="31"/>
      <c r="H18" s="31"/>
      <c r="I18" s="79" t="s">
        <v>181</v>
      </c>
      <c r="J18" s="79" t="s">
        <v>251</v>
      </c>
      <c r="K18" s="79" t="s">
        <v>287</v>
      </c>
      <c r="L18" s="79" t="s">
        <v>349</v>
      </c>
      <c r="M18" s="79" t="s">
        <v>287</v>
      </c>
      <c r="N18" s="79" t="s">
        <v>431</v>
      </c>
      <c r="O18" s="40"/>
    </row>
    <row r="19" spans="1:15" s="8" customFormat="1" ht="25.5" x14ac:dyDescent="0.2">
      <c r="A19" s="51">
        <f t="shared" si="0"/>
        <v>10</v>
      </c>
      <c r="B19" s="80" t="s">
        <v>43</v>
      </c>
      <c r="C19" s="30">
        <v>5</v>
      </c>
      <c r="D19" s="80" t="s">
        <v>118</v>
      </c>
      <c r="E19" s="30">
        <f t="shared" si="1"/>
        <v>0</v>
      </c>
      <c r="F19" s="30"/>
      <c r="G19" s="30"/>
      <c r="H19" s="30"/>
      <c r="I19" s="80" t="s">
        <v>182</v>
      </c>
      <c r="J19" s="80" t="s">
        <v>250</v>
      </c>
      <c r="K19" s="80" t="s">
        <v>288</v>
      </c>
      <c r="L19" s="80" t="s">
        <v>351</v>
      </c>
      <c r="M19" s="80" t="s">
        <v>390</v>
      </c>
      <c r="N19" s="80" t="s">
        <v>431</v>
      </c>
      <c r="O19" s="30"/>
    </row>
    <row r="20" spans="1:15" s="8" customFormat="1" ht="25.5" x14ac:dyDescent="0.2">
      <c r="A20" s="50">
        <f t="shared" si="0"/>
        <v>11</v>
      </c>
      <c r="B20" s="79" t="s">
        <v>44</v>
      </c>
      <c r="C20" s="40">
        <v>3</v>
      </c>
      <c r="D20" s="79" t="s">
        <v>119</v>
      </c>
      <c r="E20" s="40">
        <f t="shared" si="1"/>
        <v>0</v>
      </c>
      <c r="F20" s="40"/>
      <c r="G20" s="31"/>
      <c r="H20" s="31"/>
      <c r="I20" s="79" t="s">
        <v>183</v>
      </c>
      <c r="J20" s="79" t="s">
        <v>252</v>
      </c>
      <c r="K20" s="79" t="s">
        <v>289</v>
      </c>
      <c r="L20" s="79" t="s">
        <v>352</v>
      </c>
      <c r="M20" s="79" t="s">
        <v>289</v>
      </c>
      <c r="N20" s="79" t="s">
        <v>431</v>
      </c>
      <c r="O20" s="40"/>
    </row>
    <row r="21" spans="1:15" s="8" customFormat="1" x14ac:dyDescent="0.2">
      <c r="A21" s="51">
        <f t="shared" si="0"/>
        <v>12</v>
      </c>
      <c r="B21" s="80" t="s">
        <v>45</v>
      </c>
      <c r="C21" s="30">
        <v>1</v>
      </c>
      <c r="D21" s="80" t="s">
        <v>120</v>
      </c>
      <c r="E21" s="30">
        <f t="shared" si="1"/>
        <v>0</v>
      </c>
      <c r="F21" s="30"/>
      <c r="G21" s="30"/>
      <c r="H21" s="30"/>
      <c r="I21" s="80" t="s">
        <v>184</v>
      </c>
      <c r="J21" s="80" t="s">
        <v>250</v>
      </c>
      <c r="K21" s="80" t="s">
        <v>290</v>
      </c>
      <c r="L21" s="80" t="s">
        <v>353</v>
      </c>
      <c r="M21" s="80" t="s">
        <v>290</v>
      </c>
      <c r="N21" s="80" t="s">
        <v>431</v>
      </c>
      <c r="O21" s="30"/>
    </row>
    <row r="22" spans="1:15" s="8" customFormat="1" x14ac:dyDescent="0.2">
      <c r="A22" s="50">
        <f t="shared" si="0"/>
        <v>13</v>
      </c>
      <c r="B22" s="79" t="s">
        <v>46</v>
      </c>
      <c r="C22" s="40">
        <v>1</v>
      </c>
      <c r="D22" s="79" t="s">
        <v>121</v>
      </c>
      <c r="E22" s="40">
        <f t="shared" si="1"/>
        <v>0</v>
      </c>
      <c r="F22" s="40"/>
      <c r="G22" s="31"/>
      <c r="H22" s="31"/>
      <c r="I22" s="79" t="s">
        <v>185</v>
      </c>
      <c r="J22" s="79" t="s">
        <v>250</v>
      </c>
      <c r="K22" s="79" t="s">
        <v>291</v>
      </c>
      <c r="L22" s="79" t="s">
        <v>354</v>
      </c>
      <c r="M22" s="79" t="s">
        <v>391</v>
      </c>
      <c r="N22" s="79" t="s">
        <v>431</v>
      </c>
      <c r="O22" s="40"/>
    </row>
    <row r="23" spans="1:15" s="8" customFormat="1" ht="25.5" x14ac:dyDescent="0.2">
      <c r="A23" s="51">
        <f t="shared" si="0"/>
        <v>14</v>
      </c>
      <c r="B23" s="80" t="s">
        <v>47</v>
      </c>
      <c r="C23" s="30">
        <v>1</v>
      </c>
      <c r="D23" s="80" t="s">
        <v>122</v>
      </c>
      <c r="E23" s="30">
        <f t="shared" si="1"/>
        <v>0</v>
      </c>
      <c r="F23" s="30"/>
      <c r="G23" s="30"/>
      <c r="H23" s="30"/>
      <c r="I23" s="80" t="s">
        <v>186</v>
      </c>
      <c r="J23" s="80" t="s">
        <v>253</v>
      </c>
      <c r="K23" s="80" t="s">
        <v>292</v>
      </c>
      <c r="L23" s="80" t="s">
        <v>355</v>
      </c>
      <c r="M23" s="80" t="s">
        <v>292</v>
      </c>
      <c r="N23" s="80" t="s">
        <v>431</v>
      </c>
      <c r="O23" s="30"/>
    </row>
    <row r="24" spans="1:15" s="8" customFormat="1" ht="25.5" x14ac:dyDescent="0.2">
      <c r="A24" s="50">
        <f t="shared" si="0"/>
        <v>15</v>
      </c>
      <c r="B24" s="79" t="s">
        <v>48</v>
      </c>
      <c r="C24" s="40">
        <v>2</v>
      </c>
      <c r="D24" s="79" t="s">
        <v>123</v>
      </c>
      <c r="E24" s="40">
        <f t="shared" si="1"/>
        <v>0</v>
      </c>
      <c r="F24" s="40"/>
      <c r="G24" s="31"/>
      <c r="H24" s="31"/>
      <c r="I24" s="79" t="s">
        <v>187</v>
      </c>
      <c r="J24" s="79" t="s">
        <v>253</v>
      </c>
      <c r="K24" s="79" t="s">
        <v>293</v>
      </c>
      <c r="L24" s="79" t="s">
        <v>356</v>
      </c>
      <c r="M24" s="79" t="s">
        <v>293</v>
      </c>
      <c r="N24" s="79" t="s">
        <v>431</v>
      </c>
      <c r="O24" s="40"/>
    </row>
    <row r="25" spans="1:15" s="8" customFormat="1" ht="25.5" x14ac:dyDescent="0.2">
      <c r="A25" s="51">
        <f t="shared" si="0"/>
        <v>16</v>
      </c>
      <c r="B25" s="80" t="s">
        <v>49</v>
      </c>
      <c r="C25" s="30">
        <v>1</v>
      </c>
      <c r="D25" s="80" t="s">
        <v>124</v>
      </c>
      <c r="E25" s="30">
        <f t="shared" si="1"/>
        <v>0</v>
      </c>
      <c r="F25" s="30"/>
      <c r="G25" s="30"/>
      <c r="H25" s="30"/>
      <c r="I25" s="80" t="s">
        <v>188</v>
      </c>
      <c r="J25" s="80" t="s">
        <v>254</v>
      </c>
      <c r="K25" s="80" t="s">
        <v>294</v>
      </c>
      <c r="L25" s="80" t="s">
        <v>357</v>
      </c>
      <c r="M25" s="80" t="s">
        <v>294</v>
      </c>
      <c r="N25" s="80" t="s">
        <v>431</v>
      </c>
      <c r="O25" s="30"/>
    </row>
    <row r="26" spans="1:15" s="8" customFormat="1" ht="25.5" x14ac:dyDescent="0.2">
      <c r="A26" s="50">
        <f t="shared" si="0"/>
        <v>17</v>
      </c>
      <c r="B26" s="79" t="s">
        <v>50</v>
      </c>
      <c r="C26" s="40">
        <v>1</v>
      </c>
      <c r="D26" s="79" t="s">
        <v>125</v>
      </c>
      <c r="E26" s="40">
        <f t="shared" si="1"/>
        <v>0</v>
      </c>
      <c r="F26" s="40"/>
      <c r="G26" s="31"/>
      <c r="H26" s="31"/>
      <c r="I26" s="79" t="s">
        <v>189</v>
      </c>
      <c r="J26" s="79" t="s">
        <v>255</v>
      </c>
      <c r="K26" s="79" t="s">
        <v>295</v>
      </c>
      <c r="L26" s="79" t="s">
        <v>358</v>
      </c>
      <c r="M26" s="79" t="s">
        <v>392</v>
      </c>
      <c r="N26" s="79" t="s">
        <v>431</v>
      </c>
      <c r="O26" s="40"/>
    </row>
    <row r="27" spans="1:15" s="8" customFormat="1" x14ac:dyDescent="0.2">
      <c r="A27" s="51">
        <f t="shared" si="0"/>
        <v>18</v>
      </c>
      <c r="B27" s="80" t="s">
        <v>51</v>
      </c>
      <c r="C27" s="30">
        <v>1</v>
      </c>
      <c r="D27" s="80" t="s">
        <v>126</v>
      </c>
      <c r="E27" s="30">
        <f t="shared" si="1"/>
        <v>0</v>
      </c>
      <c r="F27" s="30"/>
      <c r="G27" s="30"/>
      <c r="H27" s="30"/>
      <c r="I27" s="80" t="s">
        <v>190</v>
      </c>
      <c r="J27" s="80" t="s">
        <v>256</v>
      </c>
      <c r="K27" s="80" t="s">
        <v>296</v>
      </c>
      <c r="L27" s="80" t="s">
        <v>359</v>
      </c>
      <c r="M27" s="80" t="s">
        <v>393</v>
      </c>
      <c r="N27" s="80" t="s">
        <v>431</v>
      </c>
      <c r="O27" s="30"/>
    </row>
    <row r="28" spans="1:15" s="8" customFormat="1" ht="38.25" x14ac:dyDescent="0.2">
      <c r="A28" s="50">
        <f t="shared" si="0"/>
        <v>19</v>
      </c>
      <c r="B28" s="79" t="s">
        <v>52</v>
      </c>
      <c r="C28" s="40">
        <v>2</v>
      </c>
      <c r="D28" s="79" t="s">
        <v>127</v>
      </c>
      <c r="E28" s="40">
        <f t="shared" si="1"/>
        <v>0</v>
      </c>
      <c r="F28" s="40"/>
      <c r="G28" s="31"/>
      <c r="H28" s="31"/>
      <c r="I28" s="79" t="s">
        <v>191</v>
      </c>
      <c r="J28" s="79" t="s">
        <v>257</v>
      </c>
      <c r="K28" s="79" t="s">
        <v>297</v>
      </c>
      <c r="L28" s="79" t="s">
        <v>360</v>
      </c>
      <c r="M28" s="79" t="s">
        <v>394</v>
      </c>
      <c r="N28" s="79" t="s">
        <v>431</v>
      </c>
      <c r="O28" s="40"/>
    </row>
    <row r="29" spans="1:15" s="8" customFormat="1" ht="38.25" x14ac:dyDescent="0.2">
      <c r="A29" s="51">
        <f t="shared" si="0"/>
        <v>20</v>
      </c>
      <c r="B29" s="80" t="s">
        <v>53</v>
      </c>
      <c r="C29" s="30">
        <v>2</v>
      </c>
      <c r="D29" s="80" t="s">
        <v>124</v>
      </c>
      <c r="E29" s="30">
        <f t="shared" si="1"/>
        <v>0</v>
      </c>
      <c r="F29" s="30"/>
      <c r="G29" s="30"/>
      <c r="H29" s="30"/>
      <c r="I29" s="80" t="s">
        <v>192</v>
      </c>
      <c r="J29" s="80" t="s">
        <v>257</v>
      </c>
      <c r="K29" s="80" t="s">
        <v>298</v>
      </c>
      <c r="L29" s="80" t="s">
        <v>360</v>
      </c>
      <c r="M29" s="80" t="s">
        <v>395</v>
      </c>
      <c r="N29" s="80" t="s">
        <v>431</v>
      </c>
      <c r="O29" s="30"/>
    </row>
    <row r="30" spans="1:15" s="8" customFormat="1" x14ac:dyDescent="0.2">
      <c r="A30" s="50">
        <f t="shared" si="0"/>
        <v>21</v>
      </c>
      <c r="B30" s="79" t="s">
        <v>54</v>
      </c>
      <c r="C30" s="40">
        <v>1</v>
      </c>
      <c r="D30" s="79" t="s">
        <v>128</v>
      </c>
      <c r="E30" s="40">
        <f t="shared" si="1"/>
        <v>0</v>
      </c>
      <c r="F30" s="40"/>
      <c r="G30" s="31"/>
      <c r="H30" s="31"/>
      <c r="I30" s="79" t="s">
        <v>193</v>
      </c>
      <c r="J30" s="79" t="s">
        <v>258</v>
      </c>
      <c r="K30" s="79" t="s">
        <v>299</v>
      </c>
      <c r="L30" s="79" t="s">
        <v>361</v>
      </c>
      <c r="M30" s="79" t="s">
        <v>396</v>
      </c>
      <c r="N30" s="79" t="s">
        <v>431</v>
      </c>
      <c r="O30" s="40"/>
    </row>
    <row r="31" spans="1:15" s="8" customFormat="1" x14ac:dyDescent="0.2">
      <c r="A31" s="51">
        <f t="shared" si="0"/>
        <v>22</v>
      </c>
      <c r="B31" s="80" t="s">
        <v>55</v>
      </c>
      <c r="C31" s="30">
        <v>1</v>
      </c>
      <c r="D31" s="80" t="s">
        <v>129</v>
      </c>
      <c r="E31" s="30">
        <f t="shared" si="1"/>
        <v>0</v>
      </c>
      <c r="F31" s="30"/>
      <c r="G31" s="30"/>
      <c r="H31" s="30"/>
      <c r="I31" s="80" t="s">
        <v>194</v>
      </c>
      <c r="J31" s="80" t="s">
        <v>259</v>
      </c>
      <c r="K31" s="80" t="s">
        <v>300</v>
      </c>
      <c r="L31" s="80" t="s">
        <v>169</v>
      </c>
      <c r="M31" s="80" t="s">
        <v>300</v>
      </c>
      <c r="N31" s="80" t="s">
        <v>431</v>
      </c>
      <c r="O31" s="30"/>
    </row>
    <row r="32" spans="1:15" s="8" customFormat="1" ht="25.5" x14ac:dyDescent="0.2">
      <c r="A32" s="50">
        <f t="shared" si="0"/>
        <v>23</v>
      </c>
      <c r="B32" s="79" t="s">
        <v>56</v>
      </c>
      <c r="C32" s="40">
        <v>2</v>
      </c>
      <c r="D32" s="79" t="s">
        <v>130</v>
      </c>
      <c r="E32" s="40">
        <f t="shared" si="1"/>
        <v>0</v>
      </c>
      <c r="F32" s="40"/>
      <c r="G32" s="31"/>
      <c r="H32" s="31"/>
      <c r="I32" s="79" t="s">
        <v>195</v>
      </c>
      <c r="J32" s="79" t="s">
        <v>260</v>
      </c>
      <c r="K32" s="79" t="s">
        <v>301</v>
      </c>
      <c r="L32" s="79" t="s">
        <v>362</v>
      </c>
      <c r="M32" s="79" t="s">
        <v>397</v>
      </c>
      <c r="N32" s="79" t="s">
        <v>431</v>
      </c>
      <c r="O32" s="40"/>
    </row>
    <row r="33" spans="1:15" s="8" customFormat="1" x14ac:dyDescent="0.2">
      <c r="A33" s="51">
        <f t="shared" si="0"/>
        <v>24</v>
      </c>
      <c r="B33" s="80" t="s">
        <v>57</v>
      </c>
      <c r="C33" s="30">
        <v>1</v>
      </c>
      <c r="D33" s="80" t="s">
        <v>131</v>
      </c>
      <c r="E33" s="30">
        <f t="shared" si="1"/>
        <v>0</v>
      </c>
      <c r="F33" s="30"/>
      <c r="G33" s="30"/>
      <c r="H33" s="30"/>
      <c r="I33" s="80" t="s">
        <v>196</v>
      </c>
      <c r="J33" s="80" t="s">
        <v>261</v>
      </c>
      <c r="K33" s="80" t="s">
        <v>302</v>
      </c>
      <c r="L33" s="80" t="s">
        <v>363</v>
      </c>
      <c r="M33" s="80" t="s">
        <v>398</v>
      </c>
      <c r="N33" s="80" t="s">
        <v>431</v>
      </c>
      <c r="O33" s="30"/>
    </row>
    <row r="34" spans="1:15" s="8" customFormat="1" x14ac:dyDescent="0.2">
      <c r="A34" s="50">
        <f t="shared" si="0"/>
        <v>25</v>
      </c>
      <c r="B34" s="79" t="s">
        <v>58</v>
      </c>
      <c r="C34" s="40">
        <v>4</v>
      </c>
      <c r="D34" s="79" t="s">
        <v>132</v>
      </c>
      <c r="E34" s="40">
        <f t="shared" si="1"/>
        <v>0</v>
      </c>
      <c r="F34" s="40"/>
      <c r="G34" s="31"/>
      <c r="H34" s="31"/>
      <c r="I34" s="79" t="s">
        <v>197</v>
      </c>
      <c r="J34" s="79" t="s">
        <v>262</v>
      </c>
      <c r="K34" s="79" t="s">
        <v>303</v>
      </c>
      <c r="L34" s="79" t="s">
        <v>351</v>
      </c>
      <c r="M34" s="79" t="s">
        <v>399</v>
      </c>
      <c r="N34" s="79" t="s">
        <v>431</v>
      </c>
      <c r="O34" s="40"/>
    </row>
    <row r="35" spans="1:15" s="8" customFormat="1" ht="25.5" x14ac:dyDescent="0.2">
      <c r="A35" s="51">
        <f t="shared" si="0"/>
        <v>26</v>
      </c>
      <c r="B35" s="80" t="s">
        <v>59</v>
      </c>
      <c r="C35" s="30">
        <v>1</v>
      </c>
      <c r="D35" s="80" t="s">
        <v>133</v>
      </c>
      <c r="E35" s="30">
        <f t="shared" si="1"/>
        <v>0</v>
      </c>
      <c r="F35" s="30"/>
      <c r="G35" s="30"/>
      <c r="H35" s="30"/>
      <c r="I35" s="80" t="s">
        <v>198</v>
      </c>
      <c r="J35" s="80" t="s">
        <v>263</v>
      </c>
      <c r="K35" s="80" t="s">
        <v>304</v>
      </c>
      <c r="L35" s="80" t="s">
        <v>351</v>
      </c>
      <c r="M35" s="80" t="s">
        <v>304</v>
      </c>
      <c r="N35" s="80" t="s">
        <v>431</v>
      </c>
      <c r="O35" s="30"/>
    </row>
    <row r="36" spans="1:15" s="8" customFormat="1" x14ac:dyDescent="0.2">
      <c r="A36" s="50">
        <f t="shared" si="0"/>
        <v>27</v>
      </c>
      <c r="B36" s="79" t="s">
        <v>60</v>
      </c>
      <c r="C36" s="40">
        <v>1</v>
      </c>
      <c r="D36" s="79" t="s">
        <v>134</v>
      </c>
      <c r="E36" s="40">
        <f t="shared" si="1"/>
        <v>0</v>
      </c>
      <c r="F36" s="40"/>
      <c r="G36" s="31"/>
      <c r="H36" s="31"/>
      <c r="I36" s="79" t="s">
        <v>199</v>
      </c>
      <c r="J36" s="79" t="s">
        <v>264</v>
      </c>
      <c r="K36" s="79" t="s">
        <v>305</v>
      </c>
      <c r="L36" s="79" t="s">
        <v>347</v>
      </c>
      <c r="M36" s="79" t="s">
        <v>400</v>
      </c>
      <c r="N36" s="79" t="s">
        <v>431</v>
      </c>
      <c r="O36" s="40"/>
    </row>
    <row r="37" spans="1:15" s="8" customFormat="1" x14ac:dyDescent="0.2">
      <c r="A37" s="51">
        <f t="shared" si="0"/>
        <v>28</v>
      </c>
      <c r="B37" s="80" t="s">
        <v>61</v>
      </c>
      <c r="C37" s="30">
        <v>3</v>
      </c>
      <c r="D37" s="80" t="s">
        <v>135</v>
      </c>
      <c r="E37" s="30">
        <f t="shared" si="1"/>
        <v>0</v>
      </c>
      <c r="F37" s="30"/>
      <c r="G37" s="30"/>
      <c r="H37" s="30"/>
      <c r="I37" s="80" t="s">
        <v>200</v>
      </c>
      <c r="J37" s="80" t="s">
        <v>264</v>
      </c>
      <c r="K37" s="80" t="s">
        <v>306</v>
      </c>
      <c r="L37" s="80" t="s">
        <v>349</v>
      </c>
      <c r="M37" s="80" t="s">
        <v>401</v>
      </c>
      <c r="N37" s="80" t="s">
        <v>431</v>
      </c>
      <c r="O37" s="30"/>
    </row>
    <row r="38" spans="1:15" s="8" customFormat="1" x14ac:dyDescent="0.2">
      <c r="A38" s="50">
        <f t="shared" si="0"/>
        <v>29</v>
      </c>
      <c r="B38" s="79" t="s">
        <v>62</v>
      </c>
      <c r="C38" s="40">
        <v>1</v>
      </c>
      <c r="D38" s="79" t="s">
        <v>136</v>
      </c>
      <c r="E38" s="40">
        <f t="shared" si="1"/>
        <v>0</v>
      </c>
      <c r="F38" s="40"/>
      <c r="G38" s="31"/>
      <c r="H38" s="31"/>
      <c r="I38" s="79" t="s">
        <v>201</v>
      </c>
      <c r="J38" s="79" t="s">
        <v>264</v>
      </c>
      <c r="K38" s="79" t="s">
        <v>307</v>
      </c>
      <c r="L38" s="79" t="s">
        <v>347</v>
      </c>
      <c r="M38" s="79" t="s">
        <v>402</v>
      </c>
      <c r="N38" s="79" t="s">
        <v>431</v>
      </c>
      <c r="O38" s="40"/>
    </row>
    <row r="39" spans="1:15" s="8" customFormat="1" x14ac:dyDescent="0.2">
      <c r="A39" s="51">
        <f t="shared" si="0"/>
        <v>30</v>
      </c>
      <c r="B39" s="80" t="s">
        <v>63</v>
      </c>
      <c r="C39" s="30">
        <v>2</v>
      </c>
      <c r="D39" s="80" t="s">
        <v>137</v>
      </c>
      <c r="E39" s="30">
        <f t="shared" si="1"/>
        <v>0</v>
      </c>
      <c r="F39" s="30"/>
      <c r="G39" s="30"/>
      <c r="H39" s="30"/>
      <c r="I39" s="80" t="s">
        <v>202</v>
      </c>
      <c r="J39" s="80" t="s">
        <v>264</v>
      </c>
      <c r="K39" s="80" t="s">
        <v>308</v>
      </c>
      <c r="L39" s="80" t="s">
        <v>349</v>
      </c>
      <c r="M39" s="80" t="s">
        <v>403</v>
      </c>
      <c r="N39" s="80" t="s">
        <v>431</v>
      </c>
      <c r="O39" s="30"/>
    </row>
    <row r="40" spans="1:15" s="8" customFormat="1" x14ac:dyDescent="0.2">
      <c r="A40" s="50">
        <f t="shared" si="0"/>
        <v>31</v>
      </c>
      <c r="B40" s="79" t="s">
        <v>64</v>
      </c>
      <c r="C40" s="40">
        <v>1</v>
      </c>
      <c r="D40" s="79" t="s">
        <v>138</v>
      </c>
      <c r="E40" s="40">
        <f t="shared" si="1"/>
        <v>0</v>
      </c>
      <c r="F40" s="40"/>
      <c r="G40" s="31"/>
      <c r="H40" s="31"/>
      <c r="I40" s="79" t="s">
        <v>203</v>
      </c>
      <c r="J40" s="79" t="s">
        <v>264</v>
      </c>
      <c r="K40" s="79" t="s">
        <v>309</v>
      </c>
      <c r="L40" s="79" t="s">
        <v>349</v>
      </c>
      <c r="M40" s="79" t="s">
        <v>404</v>
      </c>
      <c r="N40" s="79" t="s">
        <v>431</v>
      </c>
      <c r="O40" s="40"/>
    </row>
    <row r="41" spans="1:15" s="8" customFormat="1" x14ac:dyDescent="0.2">
      <c r="A41" s="51">
        <f t="shared" si="0"/>
        <v>32</v>
      </c>
      <c r="B41" s="80" t="s">
        <v>65</v>
      </c>
      <c r="C41" s="30">
        <v>1</v>
      </c>
      <c r="D41" s="80" t="s">
        <v>139</v>
      </c>
      <c r="E41" s="30">
        <f t="shared" si="1"/>
        <v>0</v>
      </c>
      <c r="F41" s="30"/>
      <c r="G41" s="30"/>
      <c r="H41" s="30"/>
      <c r="I41" s="80" t="s">
        <v>204</v>
      </c>
      <c r="J41" s="80" t="s">
        <v>264</v>
      </c>
      <c r="K41" s="80" t="s">
        <v>310</v>
      </c>
      <c r="L41" s="80" t="s">
        <v>349</v>
      </c>
      <c r="M41" s="80" t="s">
        <v>405</v>
      </c>
      <c r="N41" s="80" t="s">
        <v>431</v>
      </c>
      <c r="O41" s="30"/>
    </row>
    <row r="42" spans="1:15" s="8" customFormat="1" x14ac:dyDescent="0.2">
      <c r="A42" s="50">
        <f t="shared" ref="A42:A73" si="2">ROW(A42)- ROW($A$9)</f>
        <v>33</v>
      </c>
      <c r="B42" s="79" t="s">
        <v>66</v>
      </c>
      <c r="C42" s="40">
        <v>1</v>
      </c>
      <c r="D42" s="79" t="s">
        <v>140</v>
      </c>
      <c r="E42" s="40">
        <f t="shared" ref="E42:E73" si="3">C42*$F$7</f>
        <v>0</v>
      </c>
      <c r="F42" s="40"/>
      <c r="G42" s="31"/>
      <c r="H42" s="31"/>
      <c r="I42" s="79" t="s">
        <v>205</v>
      </c>
      <c r="J42" s="79" t="s">
        <v>264</v>
      </c>
      <c r="K42" s="79" t="s">
        <v>311</v>
      </c>
      <c r="L42" s="79" t="s">
        <v>364</v>
      </c>
      <c r="M42" s="79" t="s">
        <v>406</v>
      </c>
      <c r="N42" s="79" t="s">
        <v>431</v>
      </c>
      <c r="O42" s="40"/>
    </row>
    <row r="43" spans="1:15" s="8" customFormat="1" x14ac:dyDescent="0.2">
      <c r="A43" s="51">
        <f t="shared" si="2"/>
        <v>34</v>
      </c>
      <c r="B43" s="80" t="s">
        <v>67</v>
      </c>
      <c r="C43" s="30">
        <v>1</v>
      </c>
      <c r="D43" s="80" t="s">
        <v>141</v>
      </c>
      <c r="E43" s="30">
        <f t="shared" si="3"/>
        <v>0</v>
      </c>
      <c r="F43" s="30"/>
      <c r="G43" s="30"/>
      <c r="H43" s="30"/>
      <c r="I43" s="80" t="s">
        <v>206</v>
      </c>
      <c r="J43" s="80" t="s">
        <v>264</v>
      </c>
      <c r="K43" s="80" t="s">
        <v>312</v>
      </c>
      <c r="L43" s="80" t="s">
        <v>364</v>
      </c>
      <c r="M43" s="80" t="s">
        <v>407</v>
      </c>
      <c r="N43" s="80" t="s">
        <v>431</v>
      </c>
      <c r="O43" s="30"/>
    </row>
    <row r="44" spans="1:15" s="8" customFormat="1" x14ac:dyDescent="0.2">
      <c r="A44" s="50">
        <f t="shared" si="2"/>
        <v>35</v>
      </c>
      <c r="B44" s="79" t="s">
        <v>68</v>
      </c>
      <c r="C44" s="40">
        <v>1</v>
      </c>
      <c r="D44" s="79" t="s">
        <v>142</v>
      </c>
      <c r="E44" s="40">
        <f t="shared" si="3"/>
        <v>0</v>
      </c>
      <c r="F44" s="40"/>
      <c r="G44" s="31"/>
      <c r="H44" s="31"/>
      <c r="I44" s="79" t="s">
        <v>207</v>
      </c>
      <c r="J44" s="79" t="s">
        <v>264</v>
      </c>
      <c r="K44" s="79" t="s">
        <v>313</v>
      </c>
      <c r="L44" s="79" t="s">
        <v>349</v>
      </c>
      <c r="M44" s="79" t="s">
        <v>408</v>
      </c>
      <c r="N44" s="79" t="s">
        <v>431</v>
      </c>
      <c r="O44" s="40"/>
    </row>
    <row r="45" spans="1:15" s="8" customFormat="1" ht="25.5" x14ac:dyDescent="0.2">
      <c r="A45" s="51">
        <f t="shared" si="2"/>
        <v>36</v>
      </c>
      <c r="B45" s="80" t="s">
        <v>69</v>
      </c>
      <c r="C45" s="30">
        <v>1</v>
      </c>
      <c r="D45" s="80" t="s">
        <v>143</v>
      </c>
      <c r="E45" s="30">
        <f t="shared" si="3"/>
        <v>0</v>
      </c>
      <c r="F45" s="30"/>
      <c r="G45" s="30"/>
      <c r="H45" s="30"/>
      <c r="I45" s="80" t="s">
        <v>208</v>
      </c>
      <c r="J45" s="80" t="s">
        <v>265</v>
      </c>
      <c r="K45" s="80" t="s">
        <v>314</v>
      </c>
      <c r="L45" s="80" t="s">
        <v>365</v>
      </c>
      <c r="M45" s="80" t="s">
        <v>409</v>
      </c>
      <c r="N45" s="80" t="s">
        <v>431</v>
      </c>
      <c r="O45" s="30"/>
    </row>
    <row r="46" spans="1:15" s="8" customFormat="1" ht="38.25" x14ac:dyDescent="0.2">
      <c r="A46" s="50">
        <f t="shared" si="2"/>
        <v>37</v>
      </c>
      <c r="B46" s="79" t="s">
        <v>70</v>
      </c>
      <c r="C46" s="40">
        <v>1</v>
      </c>
      <c r="D46" s="79" t="s">
        <v>144</v>
      </c>
      <c r="E46" s="40">
        <f t="shared" si="3"/>
        <v>0</v>
      </c>
      <c r="F46" s="40"/>
      <c r="G46" s="31"/>
      <c r="H46" s="31"/>
      <c r="I46" s="79" t="s">
        <v>209</v>
      </c>
      <c r="J46" s="79" t="s">
        <v>266</v>
      </c>
      <c r="K46" s="79" t="s">
        <v>315</v>
      </c>
      <c r="L46" s="79" t="s">
        <v>349</v>
      </c>
      <c r="M46" s="79" t="s">
        <v>410</v>
      </c>
      <c r="N46" s="79" t="s">
        <v>431</v>
      </c>
      <c r="O46" s="40"/>
    </row>
    <row r="47" spans="1:15" s="8" customFormat="1" ht="38.25" x14ac:dyDescent="0.2">
      <c r="A47" s="51">
        <f t="shared" si="2"/>
        <v>38</v>
      </c>
      <c r="B47" s="80" t="s">
        <v>71</v>
      </c>
      <c r="C47" s="30">
        <v>12</v>
      </c>
      <c r="D47" s="80" t="s">
        <v>145</v>
      </c>
      <c r="E47" s="30">
        <f t="shared" si="3"/>
        <v>0</v>
      </c>
      <c r="F47" s="30"/>
      <c r="G47" s="30"/>
      <c r="H47" s="30"/>
      <c r="I47" s="80" t="s">
        <v>210</v>
      </c>
      <c r="J47" s="80" t="s">
        <v>266</v>
      </c>
      <c r="K47" s="80" t="s">
        <v>316</v>
      </c>
      <c r="L47" s="80" t="s">
        <v>349</v>
      </c>
      <c r="M47" s="80" t="s">
        <v>411</v>
      </c>
      <c r="N47" s="80" t="s">
        <v>431</v>
      </c>
      <c r="O47" s="30"/>
    </row>
    <row r="48" spans="1:15" s="8" customFormat="1" ht="38.25" x14ac:dyDescent="0.2">
      <c r="A48" s="50">
        <f t="shared" si="2"/>
        <v>39</v>
      </c>
      <c r="B48" s="79" t="s">
        <v>72</v>
      </c>
      <c r="C48" s="40">
        <v>1</v>
      </c>
      <c r="D48" s="79" t="s">
        <v>146</v>
      </c>
      <c r="E48" s="40">
        <f t="shared" si="3"/>
        <v>0</v>
      </c>
      <c r="F48" s="40"/>
      <c r="G48" s="31"/>
      <c r="H48" s="31"/>
      <c r="I48" s="79" t="s">
        <v>211</v>
      </c>
      <c r="J48" s="79" t="s">
        <v>266</v>
      </c>
      <c r="K48" s="79" t="s">
        <v>317</v>
      </c>
      <c r="L48" s="79" t="s">
        <v>366</v>
      </c>
      <c r="M48" s="79" t="s">
        <v>412</v>
      </c>
      <c r="N48" s="79" t="s">
        <v>431</v>
      </c>
      <c r="O48" s="40"/>
    </row>
    <row r="49" spans="1:15" s="8" customFormat="1" ht="25.5" x14ac:dyDescent="0.2">
      <c r="A49" s="51">
        <f t="shared" si="2"/>
        <v>40</v>
      </c>
      <c r="B49" s="80" t="s">
        <v>73</v>
      </c>
      <c r="C49" s="30">
        <v>1</v>
      </c>
      <c r="D49" s="80" t="s">
        <v>147</v>
      </c>
      <c r="E49" s="30">
        <f t="shared" si="3"/>
        <v>0</v>
      </c>
      <c r="F49" s="30"/>
      <c r="G49" s="30"/>
      <c r="H49" s="30"/>
      <c r="I49" s="80" t="s">
        <v>212</v>
      </c>
      <c r="J49" s="80" t="s">
        <v>267</v>
      </c>
      <c r="K49" s="80" t="s">
        <v>318</v>
      </c>
      <c r="L49" s="80" t="s">
        <v>367</v>
      </c>
      <c r="M49" s="80" t="s">
        <v>413</v>
      </c>
      <c r="N49" s="80" t="s">
        <v>431</v>
      </c>
      <c r="O49" s="30"/>
    </row>
    <row r="50" spans="1:15" s="8" customFormat="1" ht="38.25" x14ac:dyDescent="0.2">
      <c r="A50" s="50">
        <f t="shared" si="2"/>
        <v>41</v>
      </c>
      <c r="B50" s="79" t="s">
        <v>74</v>
      </c>
      <c r="C50" s="40">
        <v>2</v>
      </c>
      <c r="D50" s="79" t="s">
        <v>148</v>
      </c>
      <c r="E50" s="40">
        <f t="shared" si="3"/>
        <v>0</v>
      </c>
      <c r="F50" s="40"/>
      <c r="G50" s="31"/>
      <c r="H50" s="31"/>
      <c r="I50" s="79" t="s">
        <v>213</v>
      </c>
      <c r="J50" s="79" t="s">
        <v>266</v>
      </c>
      <c r="K50" s="79" t="s">
        <v>319</v>
      </c>
      <c r="L50" s="79" t="s">
        <v>349</v>
      </c>
      <c r="M50" s="79" t="s">
        <v>414</v>
      </c>
      <c r="N50" s="79" t="s">
        <v>431</v>
      </c>
      <c r="O50" s="40"/>
    </row>
    <row r="51" spans="1:15" s="8" customFormat="1" x14ac:dyDescent="0.2">
      <c r="A51" s="51">
        <f t="shared" si="2"/>
        <v>42</v>
      </c>
      <c r="B51" s="80" t="s">
        <v>75</v>
      </c>
      <c r="C51" s="30">
        <v>2</v>
      </c>
      <c r="D51" s="80" t="s">
        <v>149</v>
      </c>
      <c r="E51" s="30">
        <f t="shared" si="3"/>
        <v>0</v>
      </c>
      <c r="F51" s="30"/>
      <c r="G51" s="30"/>
      <c r="H51" s="30"/>
      <c r="I51" s="80" t="s">
        <v>214</v>
      </c>
      <c r="J51" s="80" t="s">
        <v>246</v>
      </c>
      <c r="K51" s="80" t="s">
        <v>320</v>
      </c>
      <c r="L51" s="80" t="s">
        <v>348</v>
      </c>
      <c r="M51" s="80" t="s">
        <v>415</v>
      </c>
      <c r="N51" s="80" t="s">
        <v>431</v>
      </c>
      <c r="O51" s="30"/>
    </row>
    <row r="52" spans="1:15" s="8" customFormat="1" x14ac:dyDescent="0.2">
      <c r="A52" s="50">
        <f t="shared" si="2"/>
        <v>43</v>
      </c>
      <c r="B52" s="79" t="s">
        <v>76</v>
      </c>
      <c r="C52" s="40">
        <v>4</v>
      </c>
      <c r="D52" s="79" t="s">
        <v>150</v>
      </c>
      <c r="E52" s="40">
        <f t="shared" si="3"/>
        <v>0</v>
      </c>
      <c r="F52" s="40"/>
      <c r="G52" s="31"/>
      <c r="H52" s="31"/>
      <c r="I52" s="79" t="s">
        <v>215</v>
      </c>
      <c r="J52" s="79" t="s">
        <v>246</v>
      </c>
      <c r="K52" s="79" t="s">
        <v>321</v>
      </c>
      <c r="L52" s="79" t="s">
        <v>348</v>
      </c>
      <c r="M52" s="79" t="s">
        <v>416</v>
      </c>
      <c r="N52" s="79" t="s">
        <v>431</v>
      </c>
      <c r="O52" s="40"/>
    </row>
    <row r="53" spans="1:15" s="8" customFormat="1" ht="38.25" x14ac:dyDescent="0.2">
      <c r="A53" s="51">
        <f t="shared" si="2"/>
        <v>44</v>
      </c>
      <c r="B53" s="80" t="s">
        <v>77</v>
      </c>
      <c r="C53" s="30">
        <v>5</v>
      </c>
      <c r="D53" s="80" t="s">
        <v>151</v>
      </c>
      <c r="E53" s="30">
        <f t="shared" si="3"/>
        <v>0</v>
      </c>
      <c r="F53" s="30"/>
      <c r="G53" s="30"/>
      <c r="H53" s="30"/>
      <c r="I53" s="80" t="s">
        <v>216</v>
      </c>
      <c r="J53" s="80" t="s">
        <v>266</v>
      </c>
      <c r="K53" s="80" t="s">
        <v>322</v>
      </c>
      <c r="L53" s="80" t="s">
        <v>364</v>
      </c>
      <c r="M53" s="80" t="s">
        <v>417</v>
      </c>
      <c r="N53" s="80" t="s">
        <v>431</v>
      </c>
      <c r="O53" s="30"/>
    </row>
    <row r="54" spans="1:15" s="8" customFormat="1" ht="38.25" x14ac:dyDescent="0.2">
      <c r="A54" s="50">
        <f t="shared" si="2"/>
        <v>45</v>
      </c>
      <c r="B54" s="79" t="s">
        <v>78</v>
      </c>
      <c r="C54" s="40">
        <v>7</v>
      </c>
      <c r="D54" s="79" t="s">
        <v>152</v>
      </c>
      <c r="E54" s="40">
        <f t="shared" si="3"/>
        <v>0</v>
      </c>
      <c r="F54" s="40"/>
      <c r="G54" s="31"/>
      <c r="H54" s="31"/>
      <c r="I54" s="79" t="s">
        <v>217</v>
      </c>
      <c r="J54" s="79" t="s">
        <v>266</v>
      </c>
      <c r="K54" s="79" t="s">
        <v>323</v>
      </c>
      <c r="L54" s="79" t="s">
        <v>349</v>
      </c>
      <c r="M54" s="79" t="s">
        <v>418</v>
      </c>
      <c r="N54" s="79" t="s">
        <v>431</v>
      </c>
      <c r="O54" s="40"/>
    </row>
    <row r="55" spans="1:15" s="8" customFormat="1" ht="38.25" x14ac:dyDescent="0.2">
      <c r="A55" s="51">
        <f t="shared" si="2"/>
        <v>46</v>
      </c>
      <c r="B55" s="80" t="s">
        <v>79</v>
      </c>
      <c r="C55" s="30">
        <v>2</v>
      </c>
      <c r="D55" s="80" t="s">
        <v>153</v>
      </c>
      <c r="E55" s="30">
        <f t="shared" si="3"/>
        <v>0</v>
      </c>
      <c r="F55" s="30"/>
      <c r="G55" s="30"/>
      <c r="H55" s="30"/>
      <c r="I55" s="80" t="s">
        <v>218</v>
      </c>
      <c r="J55" s="80" t="s">
        <v>266</v>
      </c>
      <c r="K55" s="80" t="s">
        <v>324</v>
      </c>
      <c r="L55" s="80" t="s">
        <v>364</v>
      </c>
      <c r="M55" s="80" t="s">
        <v>409</v>
      </c>
      <c r="N55" s="80" t="s">
        <v>431</v>
      </c>
      <c r="O55" s="30"/>
    </row>
    <row r="56" spans="1:15" s="8" customFormat="1" ht="38.25" x14ac:dyDescent="0.2">
      <c r="A56" s="50">
        <f t="shared" si="2"/>
        <v>47</v>
      </c>
      <c r="B56" s="79" t="s">
        <v>80</v>
      </c>
      <c r="C56" s="40">
        <v>2</v>
      </c>
      <c r="D56" s="79" t="s">
        <v>154</v>
      </c>
      <c r="E56" s="40">
        <f t="shared" si="3"/>
        <v>0</v>
      </c>
      <c r="F56" s="40"/>
      <c r="G56" s="31"/>
      <c r="H56" s="31"/>
      <c r="I56" s="79" t="s">
        <v>219</v>
      </c>
      <c r="J56" s="79" t="s">
        <v>266</v>
      </c>
      <c r="K56" s="79" t="s">
        <v>325</v>
      </c>
      <c r="L56" s="79" t="s">
        <v>349</v>
      </c>
      <c r="M56" s="79" t="s">
        <v>419</v>
      </c>
      <c r="N56" s="79" t="s">
        <v>431</v>
      </c>
      <c r="O56" s="40"/>
    </row>
    <row r="57" spans="1:15" s="8" customFormat="1" ht="38.25" x14ac:dyDescent="0.2">
      <c r="A57" s="51">
        <f t="shared" si="2"/>
        <v>48</v>
      </c>
      <c r="B57" s="80" t="s">
        <v>81</v>
      </c>
      <c r="C57" s="30">
        <v>1</v>
      </c>
      <c r="D57" s="80" t="s">
        <v>155</v>
      </c>
      <c r="E57" s="30">
        <f t="shared" si="3"/>
        <v>0</v>
      </c>
      <c r="F57" s="30"/>
      <c r="G57" s="30"/>
      <c r="H57" s="30"/>
      <c r="I57" s="80" t="s">
        <v>220</v>
      </c>
      <c r="J57" s="80" t="s">
        <v>266</v>
      </c>
      <c r="K57" s="80" t="s">
        <v>326</v>
      </c>
      <c r="L57" s="80" t="s">
        <v>349</v>
      </c>
      <c r="M57" s="80" t="s">
        <v>420</v>
      </c>
      <c r="N57" s="80" t="s">
        <v>431</v>
      </c>
      <c r="O57" s="30"/>
    </row>
    <row r="58" spans="1:15" s="8" customFormat="1" ht="38.25" x14ac:dyDescent="0.2">
      <c r="A58" s="50">
        <f t="shared" si="2"/>
        <v>49</v>
      </c>
      <c r="B58" s="79" t="s">
        <v>82</v>
      </c>
      <c r="C58" s="40">
        <v>1</v>
      </c>
      <c r="D58" s="79" t="s">
        <v>156</v>
      </c>
      <c r="E58" s="40">
        <f t="shared" si="3"/>
        <v>0</v>
      </c>
      <c r="F58" s="40"/>
      <c r="G58" s="31"/>
      <c r="H58" s="31"/>
      <c r="I58" s="79" t="s">
        <v>221</v>
      </c>
      <c r="J58" s="79" t="s">
        <v>266</v>
      </c>
      <c r="K58" s="79" t="s">
        <v>327</v>
      </c>
      <c r="L58" s="79" t="s">
        <v>347</v>
      </c>
      <c r="M58" s="79" t="s">
        <v>421</v>
      </c>
      <c r="N58" s="79" t="s">
        <v>431</v>
      </c>
      <c r="O58" s="40"/>
    </row>
    <row r="59" spans="1:15" s="8" customFormat="1" ht="25.5" x14ac:dyDescent="0.2">
      <c r="A59" s="51">
        <f t="shared" si="2"/>
        <v>50</v>
      </c>
      <c r="B59" s="80" t="s">
        <v>83</v>
      </c>
      <c r="C59" s="30">
        <v>1</v>
      </c>
      <c r="D59" s="80" t="s">
        <v>157</v>
      </c>
      <c r="E59" s="30">
        <f t="shared" si="3"/>
        <v>0</v>
      </c>
      <c r="F59" s="30"/>
      <c r="G59" s="30"/>
      <c r="H59" s="30"/>
      <c r="I59" s="80" t="s">
        <v>222</v>
      </c>
      <c r="J59" s="80" t="s">
        <v>267</v>
      </c>
      <c r="K59" s="80" t="s">
        <v>328</v>
      </c>
      <c r="L59" s="80" t="s">
        <v>367</v>
      </c>
      <c r="M59" s="80" t="s">
        <v>416</v>
      </c>
      <c r="N59" s="80" t="s">
        <v>431</v>
      </c>
      <c r="O59" s="30"/>
    </row>
    <row r="60" spans="1:15" s="8" customFormat="1" ht="38.25" x14ac:dyDescent="0.2">
      <c r="A60" s="50">
        <f t="shared" si="2"/>
        <v>51</v>
      </c>
      <c r="B60" s="79" t="s">
        <v>84</v>
      </c>
      <c r="C60" s="40">
        <v>1</v>
      </c>
      <c r="D60" s="79" t="s">
        <v>158</v>
      </c>
      <c r="E60" s="40">
        <f t="shared" si="3"/>
        <v>0</v>
      </c>
      <c r="F60" s="40"/>
      <c r="G60" s="31"/>
      <c r="H60" s="31"/>
      <c r="I60" s="79" t="s">
        <v>223</v>
      </c>
      <c r="J60" s="79" t="s">
        <v>266</v>
      </c>
      <c r="K60" s="79" t="s">
        <v>329</v>
      </c>
      <c r="L60" s="79" t="s">
        <v>349</v>
      </c>
      <c r="M60" s="79" t="s">
        <v>422</v>
      </c>
      <c r="N60" s="79" t="s">
        <v>431</v>
      </c>
      <c r="O60" s="40"/>
    </row>
    <row r="61" spans="1:15" s="8" customFormat="1" ht="25.5" x14ac:dyDescent="0.2">
      <c r="A61" s="51">
        <f t="shared" si="2"/>
        <v>52</v>
      </c>
      <c r="B61" s="80" t="s">
        <v>85</v>
      </c>
      <c r="C61" s="30">
        <v>4</v>
      </c>
      <c r="D61" s="80" t="s">
        <v>159</v>
      </c>
      <c r="E61" s="30">
        <f t="shared" si="3"/>
        <v>0</v>
      </c>
      <c r="F61" s="30"/>
      <c r="G61" s="30"/>
      <c r="H61" s="30"/>
      <c r="I61" s="80" t="s">
        <v>224</v>
      </c>
      <c r="J61" s="80" t="s">
        <v>265</v>
      </c>
      <c r="K61" s="80" t="s">
        <v>330</v>
      </c>
      <c r="L61" s="80" t="s">
        <v>349</v>
      </c>
      <c r="M61" s="80" t="s">
        <v>423</v>
      </c>
      <c r="N61" s="80" t="s">
        <v>431</v>
      </c>
      <c r="O61" s="30"/>
    </row>
    <row r="62" spans="1:15" s="8" customFormat="1" ht="38.25" x14ac:dyDescent="0.2">
      <c r="A62" s="50">
        <f t="shared" si="2"/>
        <v>53</v>
      </c>
      <c r="B62" s="79" t="s">
        <v>86</v>
      </c>
      <c r="C62" s="40">
        <v>1</v>
      </c>
      <c r="D62" s="79" t="s">
        <v>124</v>
      </c>
      <c r="E62" s="40">
        <f t="shared" si="3"/>
        <v>0</v>
      </c>
      <c r="F62" s="40"/>
      <c r="G62" s="31"/>
      <c r="H62" s="31"/>
      <c r="I62" s="79" t="s">
        <v>225</v>
      </c>
      <c r="J62" s="79" t="s">
        <v>266</v>
      </c>
      <c r="K62" s="79" t="s">
        <v>331</v>
      </c>
      <c r="L62" s="79" t="s">
        <v>349</v>
      </c>
      <c r="M62" s="79" t="s">
        <v>424</v>
      </c>
      <c r="N62" s="79" t="s">
        <v>431</v>
      </c>
      <c r="O62" s="40"/>
    </row>
    <row r="63" spans="1:15" s="8" customFormat="1" x14ac:dyDescent="0.2">
      <c r="A63" s="51">
        <f t="shared" si="2"/>
        <v>54</v>
      </c>
      <c r="B63" s="80" t="s">
        <v>87</v>
      </c>
      <c r="C63" s="30">
        <v>1</v>
      </c>
      <c r="D63" s="80" t="s">
        <v>124</v>
      </c>
      <c r="E63" s="30">
        <f t="shared" si="3"/>
        <v>0</v>
      </c>
      <c r="F63" s="30"/>
      <c r="G63" s="30"/>
      <c r="H63" s="30"/>
      <c r="I63" s="80" t="s">
        <v>226</v>
      </c>
      <c r="J63" s="80" t="s">
        <v>268</v>
      </c>
      <c r="K63" s="80" t="s">
        <v>332</v>
      </c>
      <c r="L63" s="80" t="s">
        <v>349</v>
      </c>
      <c r="M63" s="80" t="s">
        <v>425</v>
      </c>
      <c r="N63" s="80" t="s">
        <v>431</v>
      </c>
      <c r="O63" s="30"/>
    </row>
    <row r="64" spans="1:15" s="8" customFormat="1" ht="25.5" x14ac:dyDescent="0.2">
      <c r="A64" s="50">
        <f t="shared" si="2"/>
        <v>55</v>
      </c>
      <c r="B64" s="79" t="s">
        <v>88</v>
      </c>
      <c r="C64" s="40">
        <v>1</v>
      </c>
      <c r="D64" s="79" t="s">
        <v>160</v>
      </c>
      <c r="E64" s="40">
        <f t="shared" si="3"/>
        <v>0</v>
      </c>
      <c r="F64" s="40"/>
      <c r="G64" s="31"/>
      <c r="H64" s="31"/>
      <c r="I64" s="79" t="s">
        <v>227</v>
      </c>
      <c r="J64" s="79" t="s">
        <v>269</v>
      </c>
      <c r="K64" s="79" t="s">
        <v>333</v>
      </c>
      <c r="L64" s="79" t="s">
        <v>169</v>
      </c>
      <c r="M64" s="79" t="s">
        <v>426</v>
      </c>
      <c r="N64" s="79" t="s">
        <v>431</v>
      </c>
      <c r="O64" s="40"/>
    </row>
    <row r="65" spans="1:15" s="8" customFormat="1" ht="25.5" x14ac:dyDescent="0.2">
      <c r="A65" s="51">
        <f t="shared" si="2"/>
        <v>56</v>
      </c>
      <c r="B65" s="80" t="s">
        <v>89</v>
      </c>
      <c r="C65" s="30">
        <v>1</v>
      </c>
      <c r="D65" s="80" t="s">
        <v>161</v>
      </c>
      <c r="E65" s="30">
        <f t="shared" si="3"/>
        <v>0</v>
      </c>
      <c r="F65" s="30"/>
      <c r="G65" s="30"/>
      <c r="H65" s="30"/>
      <c r="I65" s="80" t="s">
        <v>228</v>
      </c>
      <c r="J65" s="80" t="s">
        <v>270</v>
      </c>
      <c r="K65" s="80" t="s">
        <v>334</v>
      </c>
      <c r="L65" s="80" t="s">
        <v>368</v>
      </c>
      <c r="M65" s="80" t="s">
        <v>427</v>
      </c>
      <c r="N65" s="80" t="s">
        <v>431</v>
      </c>
      <c r="O65" s="30"/>
    </row>
    <row r="66" spans="1:15" s="8" customFormat="1" ht="25.5" x14ac:dyDescent="0.2">
      <c r="A66" s="50">
        <f t="shared" si="2"/>
        <v>57</v>
      </c>
      <c r="B66" s="79" t="s">
        <v>90</v>
      </c>
      <c r="C66" s="40">
        <v>1</v>
      </c>
      <c r="D66" s="79" t="s">
        <v>162</v>
      </c>
      <c r="E66" s="40">
        <f t="shared" si="3"/>
        <v>0</v>
      </c>
      <c r="F66" s="40"/>
      <c r="G66" s="31"/>
      <c r="H66" s="31"/>
      <c r="I66" s="79" t="s">
        <v>229</v>
      </c>
      <c r="J66" s="79" t="s">
        <v>271</v>
      </c>
      <c r="K66" s="79" t="s">
        <v>335</v>
      </c>
      <c r="L66" s="79" t="s">
        <v>369</v>
      </c>
      <c r="M66" s="79" t="s">
        <v>428</v>
      </c>
      <c r="N66" s="79" t="s">
        <v>431</v>
      </c>
      <c r="O66" s="40"/>
    </row>
    <row r="67" spans="1:15" s="8" customFormat="1" ht="25.5" x14ac:dyDescent="0.2">
      <c r="A67" s="51">
        <f t="shared" si="2"/>
        <v>58</v>
      </c>
      <c r="B67" s="80" t="s">
        <v>91</v>
      </c>
      <c r="C67" s="30">
        <v>1</v>
      </c>
      <c r="D67" s="80" t="s">
        <v>163</v>
      </c>
      <c r="E67" s="30">
        <f t="shared" si="3"/>
        <v>0</v>
      </c>
      <c r="F67" s="30"/>
      <c r="G67" s="30"/>
      <c r="H67" s="30"/>
      <c r="I67" s="80" t="s">
        <v>230</v>
      </c>
      <c r="J67" s="80" t="s">
        <v>272</v>
      </c>
      <c r="K67" s="80" t="s">
        <v>336</v>
      </c>
      <c r="L67" s="80" t="s">
        <v>370</v>
      </c>
      <c r="M67" s="80" t="s">
        <v>429</v>
      </c>
      <c r="N67" s="80" t="s">
        <v>431</v>
      </c>
      <c r="O67" s="30"/>
    </row>
    <row r="68" spans="1:15" s="8" customFormat="1" ht="25.5" x14ac:dyDescent="0.2">
      <c r="A68" s="50">
        <f t="shared" si="2"/>
        <v>59</v>
      </c>
      <c r="B68" s="79" t="s">
        <v>92</v>
      </c>
      <c r="C68" s="40">
        <v>2</v>
      </c>
      <c r="D68" s="79" t="s">
        <v>164</v>
      </c>
      <c r="E68" s="40">
        <f t="shared" si="3"/>
        <v>0</v>
      </c>
      <c r="F68" s="40"/>
      <c r="G68" s="31"/>
      <c r="H68" s="31"/>
      <c r="I68" s="79" t="s">
        <v>231</v>
      </c>
      <c r="J68" s="79" t="s">
        <v>263</v>
      </c>
      <c r="K68" s="79" t="s">
        <v>337</v>
      </c>
      <c r="L68" s="79" t="s">
        <v>371</v>
      </c>
      <c r="M68" s="79" t="s">
        <v>337</v>
      </c>
      <c r="N68" s="79" t="s">
        <v>431</v>
      </c>
      <c r="O68" s="40"/>
    </row>
    <row r="69" spans="1:15" s="8" customFormat="1" ht="25.5" x14ac:dyDescent="0.2">
      <c r="A69" s="51">
        <f t="shared" si="2"/>
        <v>60</v>
      </c>
      <c r="B69" s="80" t="s">
        <v>93</v>
      </c>
      <c r="C69" s="30">
        <v>1</v>
      </c>
      <c r="D69" s="80" t="s">
        <v>165</v>
      </c>
      <c r="E69" s="30">
        <f t="shared" si="3"/>
        <v>0</v>
      </c>
      <c r="F69" s="30"/>
      <c r="G69" s="30"/>
      <c r="H69" s="30"/>
      <c r="I69" s="80" t="s">
        <v>232</v>
      </c>
      <c r="J69" s="80" t="s">
        <v>273</v>
      </c>
      <c r="K69" s="80" t="s">
        <v>338</v>
      </c>
      <c r="L69" s="80" t="s">
        <v>372</v>
      </c>
      <c r="M69" s="80" t="s">
        <v>338</v>
      </c>
      <c r="N69" s="80" t="s">
        <v>431</v>
      </c>
      <c r="O69" s="30"/>
    </row>
    <row r="70" spans="1:15" s="8" customFormat="1" ht="25.5" x14ac:dyDescent="0.2">
      <c r="A70" s="50">
        <f t="shared" si="2"/>
        <v>61</v>
      </c>
      <c r="B70" s="79" t="s">
        <v>94</v>
      </c>
      <c r="C70" s="40">
        <v>2</v>
      </c>
      <c r="D70" s="79" t="s">
        <v>166</v>
      </c>
      <c r="E70" s="40">
        <f t="shared" si="3"/>
        <v>0</v>
      </c>
      <c r="F70" s="40"/>
      <c r="G70" s="31"/>
      <c r="H70" s="31"/>
      <c r="I70" s="79" t="s">
        <v>233</v>
      </c>
      <c r="J70" s="79" t="s">
        <v>252</v>
      </c>
      <c r="K70" s="79" t="s">
        <v>339</v>
      </c>
      <c r="L70" s="79" t="s">
        <v>371</v>
      </c>
      <c r="M70" s="79" t="s">
        <v>430</v>
      </c>
      <c r="N70" s="79" t="s">
        <v>431</v>
      </c>
      <c r="O70" s="40"/>
    </row>
    <row r="71" spans="1:15" s="8" customFormat="1" ht="25.5" x14ac:dyDescent="0.2">
      <c r="A71" s="51">
        <f t="shared" si="2"/>
        <v>62</v>
      </c>
      <c r="B71" s="80" t="s">
        <v>95</v>
      </c>
      <c r="C71" s="30">
        <v>1</v>
      </c>
      <c r="D71" s="80" t="s">
        <v>124</v>
      </c>
      <c r="E71" s="30">
        <f t="shared" si="3"/>
        <v>0</v>
      </c>
      <c r="F71" s="30"/>
      <c r="G71" s="30"/>
      <c r="H71" s="30"/>
      <c r="I71" s="80" t="s">
        <v>234</v>
      </c>
      <c r="J71" s="80" t="s">
        <v>274</v>
      </c>
      <c r="K71" s="80" t="s">
        <v>340</v>
      </c>
      <c r="L71" s="80" t="s">
        <v>373</v>
      </c>
      <c r="M71" s="80" t="s">
        <v>340</v>
      </c>
      <c r="N71" s="80" t="s">
        <v>431</v>
      </c>
      <c r="O71" s="30"/>
    </row>
    <row r="72" spans="1:15" s="8" customFormat="1" ht="25.5" x14ac:dyDescent="0.2">
      <c r="A72" s="50">
        <f t="shared" si="2"/>
        <v>63</v>
      </c>
      <c r="B72" s="79" t="s">
        <v>96</v>
      </c>
      <c r="C72" s="40">
        <v>1</v>
      </c>
      <c r="D72" s="79" t="s">
        <v>124</v>
      </c>
      <c r="E72" s="40">
        <f t="shared" si="3"/>
        <v>0</v>
      </c>
      <c r="F72" s="40"/>
      <c r="G72" s="31"/>
      <c r="H72" s="31"/>
      <c r="I72" s="79" t="s">
        <v>235</v>
      </c>
      <c r="J72" s="79" t="s">
        <v>272</v>
      </c>
      <c r="K72" s="79" t="s">
        <v>341</v>
      </c>
      <c r="L72" s="79" t="s">
        <v>374</v>
      </c>
      <c r="M72" s="79" t="s">
        <v>341</v>
      </c>
      <c r="N72" s="79" t="s">
        <v>431</v>
      </c>
      <c r="O72" s="40"/>
    </row>
    <row r="73" spans="1:15" s="8" customFormat="1" ht="25.5" x14ac:dyDescent="0.2">
      <c r="A73" s="51">
        <f t="shared" si="2"/>
        <v>64</v>
      </c>
      <c r="B73" s="80" t="s">
        <v>97</v>
      </c>
      <c r="C73" s="30">
        <v>0</v>
      </c>
      <c r="D73" s="80" t="s">
        <v>167</v>
      </c>
      <c r="E73" s="30">
        <f t="shared" si="3"/>
        <v>0</v>
      </c>
      <c r="F73" s="30"/>
      <c r="G73" s="30"/>
      <c r="H73" s="30"/>
      <c r="I73" s="80" t="s">
        <v>236</v>
      </c>
      <c r="J73" s="80" t="s">
        <v>275</v>
      </c>
      <c r="K73" s="80" t="s">
        <v>342</v>
      </c>
      <c r="L73" s="80" t="s">
        <v>375</v>
      </c>
      <c r="M73" s="80" t="s">
        <v>169</v>
      </c>
      <c r="N73" s="80" t="s">
        <v>432</v>
      </c>
      <c r="O73" s="30"/>
    </row>
    <row r="74" spans="1:15" s="8" customFormat="1" ht="89.25" x14ac:dyDescent="0.2">
      <c r="A74" s="50">
        <f t="shared" ref="A74:A82" si="4">ROW(A74)- ROW($A$9)</f>
        <v>65</v>
      </c>
      <c r="B74" s="79" t="s">
        <v>98</v>
      </c>
      <c r="C74" s="40">
        <v>0</v>
      </c>
      <c r="D74" s="79" t="s">
        <v>168</v>
      </c>
      <c r="E74" s="40">
        <f t="shared" ref="E74:E82" si="5">C74*$F$7</f>
        <v>0</v>
      </c>
      <c r="F74" s="40"/>
      <c r="G74" s="31"/>
      <c r="H74" s="31"/>
      <c r="I74" s="79" t="s">
        <v>237</v>
      </c>
      <c r="J74" s="79" t="s">
        <v>276</v>
      </c>
      <c r="K74" s="79" t="s">
        <v>343</v>
      </c>
      <c r="L74" s="79" t="s">
        <v>349</v>
      </c>
      <c r="M74" s="79" t="s">
        <v>169</v>
      </c>
      <c r="N74" s="79" t="s">
        <v>432</v>
      </c>
      <c r="O74" s="40"/>
    </row>
    <row r="75" spans="1:15" s="8" customFormat="1" ht="25.5" x14ac:dyDescent="0.2">
      <c r="A75" s="51">
        <f t="shared" si="4"/>
        <v>66</v>
      </c>
      <c r="B75" s="80" t="s">
        <v>99</v>
      </c>
      <c r="C75" s="30">
        <v>0</v>
      </c>
      <c r="D75" s="80" t="s">
        <v>169</v>
      </c>
      <c r="E75" s="30">
        <f t="shared" si="5"/>
        <v>0</v>
      </c>
      <c r="F75" s="30"/>
      <c r="G75" s="30"/>
      <c r="H75" s="30"/>
      <c r="I75" s="80" t="s">
        <v>238</v>
      </c>
      <c r="J75" s="80" t="s">
        <v>169</v>
      </c>
      <c r="K75" s="80" t="s">
        <v>169</v>
      </c>
      <c r="L75" s="80" t="s">
        <v>376</v>
      </c>
      <c r="M75" s="80" t="s">
        <v>169</v>
      </c>
      <c r="N75" s="80" t="s">
        <v>432</v>
      </c>
      <c r="O75" s="30"/>
    </row>
    <row r="76" spans="1:15" s="8" customFormat="1" ht="25.5" x14ac:dyDescent="0.2">
      <c r="A76" s="50">
        <f t="shared" si="4"/>
        <v>67</v>
      </c>
      <c r="B76" s="79" t="s">
        <v>100</v>
      </c>
      <c r="C76" s="40">
        <v>0</v>
      </c>
      <c r="D76" s="79" t="s">
        <v>169</v>
      </c>
      <c r="E76" s="40">
        <f t="shared" si="5"/>
        <v>0</v>
      </c>
      <c r="F76" s="40"/>
      <c r="G76" s="31"/>
      <c r="H76" s="31"/>
      <c r="I76" s="79" t="s">
        <v>239</v>
      </c>
      <c r="J76" s="79" t="s">
        <v>169</v>
      </c>
      <c r="K76" s="79" t="s">
        <v>169</v>
      </c>
      <c r="L76" s="79" t="s">
        <v>377</v>
      </c>
      <c r="M76" s="79" t="s">
        <v>169</v>
      </c>
      <c r="N76" s="79" t="s">
        <v>432</v>
      </c>
      <c r="O76" s="40"/>
    </row>
    <row r="77" spans="1:15" s="8" customFormat="1" ht="25.5" x14ac:dyDescent="0.2">
      <c r="A77" s="51">
        <f t="shared" si="4"/>
        <v>68</v>
      </c>
      <c r="B77" s="80" t="s">
        <v>101</v>
      </c>
      <c r="C77" s="30">
        <v>0</v>
      </c>
      <c r="D77" s="80" t="s">
        <v>169</v>
      </c>
      <c r="E77" s="30">
        <f t="shared" si="5"/>
        <v>0</v>
      </c>
      <c r="F77" s="30"/>
      <c r="G77" s="30"/>
      <c r="H77" s="30"/>
      <c r="I77" s="80" t="s">
        <v>240</v>
      </c>
      <c r="J77" s="80" t="s">
        <v>169</v>
      </c>
      <c r="K77" s="80" t="s">
        <v>169</v>
      </c>
      <c r="L77" s="80" t="s">
        <v>378</v>
      </c>
      <c r="M77" s="80" t="s">
        <v>169</v>
      </c>
      <c r="N77" s="80" t="s">
        <v>432</v>
      </c>
      <c r="O77" s="30"/>
    </row>
    <row r="78" spans="1:15" s="8" customFormat="1" x14ac:dyDescent="0.2">
      <c r="A78" s="50">
        <f t="shared" si="4"/>
        <v>69</v>
      </c>
      <c r="B78" s="79" t="s">
        <v>102</v>
      </c>
      <c r="C78" s="40">
        <v>0</v>
      </c>
      <c r="D78" s="79" t="s">
        <v>170</v>
      </c>
      <c r="E78" s="40">
        <f t="shared" si="5"/>
        <v>0</v>
      </c>
      <c r="F78" s="40"/>
      <c r="G78" s="31"/>
      <c r="H78" s="31"/>
      <c r="I78" s="79" t="s">
        <v>241</v>
      </c>
      <c r="J78" s="79" t="s">
        <v>260</v>
      </c>
      <c r="K78" s="79" t="s">
        <v>344</v>
      </c>
      <c r="L78" s="79" t="s">
        <v>379</v>
      </c>
      <c r="M78" s="79" t="s">
        <v>169</v>
      </c>
      <c r="N78" s="79" t="s">
        <v>432</v>
      </c>
      <c r="O78" s="40"/>
    </row>
    <row r="79" spans="1:15" s="8" customFormat="1" x14ac:dyDescent="0.2">
      <c r="A79" s="51">
        <f t="shared" si="4"/>
        <v>70</v>
      </c>
      <c r="B79" s="80" t="s">
        <v>103</v>
      </c>
      <c r="C79" s="30">
        <v>0</v>
      </c>
      <c r="D79" s="80" t="s">
        <v>169</v>
      </c>
      <c r="E79" s="30">
        <f t="shared" si="5"/>
        <v>0</v>
      </c>
      <c r="F79" s="30"/>
      <c r="G79" s="30"/>
      <c r="H79" s="30"/>
      <c r="I79" s="80" t="s">
        <v>242</v>
      </c>
      <c r="J79" s="80" t="s">
        <v>169</v>
      </c>
      <c r="K79" s="80" t="s">
        <v>169</v>
      </c>
      <c r="L79" s="80" t="s">
        <v>361</v>
      </c>
      <c r="M79" s="80" t="s">
        <v>169</v>
      </c>
      <c r="N79" s="80" t="s">
        <v>432</v>
      </c>
      <c r="O79" s="30"/>
    </row>
    <row r="80" spans="1:15" s="8" customFormat="1" ht="25.5" x14ac:dyDescent="0.2">
      <c r="A80" s="50">
        <f t="shared" si="4"/>
        <v>71</v>
      </c>
      <c r="B80" s="79" t="s">
        <v>104</v>
      </c>
      <c r="C80" s="40">
        <v>0</v>
      </c>
      <c r="D80" s="79" t="s">
        <v>169</v>
      </c>
      <c r="E80" s="40">
        <f t="shared" si="5"/>
        <v>0</v>
      </c>
      <c r="F80" s="40"/>
      <c r="G80" s="31"/>
      <c r="H80" s="31"/>
      <c r="I80" s="79" t="s">
        <v>243</v>
      </c>
      <c r="J80" s="79" t="s">
        <v>169</v>
      </c>
      <c r="K80" s="79" t="s">
        <v>169</v>
      </c>
      <c r="L80" s="79" t="s">
        <v>380</v>
      </c>
      <c r="M80" s="79" t="s">
        <v>169</v>
      </c>
      <c r="N80" s="79" t="s">
        <v>432</v>
      </c>
      <c r="O80" s="40"/>
    </row>
    <row r="81" spans="1:15" s="8" customFormat="1" ht="25.5" x14ac:dyDescent="0.2">
      <c r="A81" s="51">
        <f t="shared" si="4"/>
        <v>72</v>
      </c>
      <c r="B81" s="80" t="s">
        <v>105</v>
      </c>
      <c r="C81" s="30">
        <v>0</v>
      </c>
      <c r="D81" s="80" t="s">
        <v>171</v>
      </c>
      <c r="E81" s="30">
        <f t="shared" si="5"/>
        <v>0</v>
      </c>
      <c r="F81" s="30"/>
      <c r="G81" s="30"/>
      <c r="H81" s="30"/>
      <c r="I81" s="80" t="s">
        <v>244</v>
      </c>
      <c r="J81" s="80" t="s">
        <v>277</v>
      </c>
      <c r="K81" s="80" t="s">
        <v>345</v>
      </c>
      <c r="L81" s="80" t="s">
        <v>381</v>
      </c>
      <c r="M81" s="80" t="s">
        <v>169</v>
      </c>
      <c r="N81" s="80" t="s">
        <v>432</v>
      </c>
      <c r="O81" s="30"/>
    </row>
    <row r="82" spans="1:15" s="8" customFormat="1" ht="102.75" thickBot="1" x14ac:dyDescent="0.25">
      <c r="A82" s="50">
        <f t="shared" si="4"/>
        <v>73</v>
      </c>
      <c r="B82" s="79" t="s">
        <v>106</v>
      </c>
      <c r="C82" s="40">
        <v>0</v>
      </c>
      <c r="D82" s="79" t="s">
        <v>169</v>
      </c>
      <c r="E82" s="40">
        <f t="shared" si="5"/>
        <v>0</v>
      </c>
      <c r="F82" s="40"/>
      <c r="G82" s="31"/>
      <c r="H82" s="31"/>
      <c r="I82" s="79" t="s">
        <v>169</v>
      </c>
      <c r="J82" s="79" t="s">
        <v>169</v>
      </c>
      <c r="K82" s="79" t="s">
        <v>169</v>
      </c>
      <c r="L82" s="79" t="s">
        <v>382</v>
      </c>
      <c r="M82" s="79" t="s">
        <v>169</v>
      </c>
      <c r="N82" s="79" t="s">
        <v>432</v>
      </c>
      <c r="O82" s="40"/>
    </row>
    <row r="83" spans="1:15" ht="13.5" thickBot="1" x14ac:dyDescent="0.25">
      <c r="A83" s="62"/>
      <c r="B83" s="71" t="s">
        <v>27</v>
      </c>
      <c r="C83" s="54">
        <f>SUM(C10:C82)</f>
        <v>124</v>
      </c>
      <c r="F83" s="27"/>
      <c r="G83" s="27"/>
      <c r="H83" s="55"/>
      <c r="I83" s="55"/>
      <c r="J83" s="56"/>
      <c r="K83" s="55"/>
      <c r="L83" s="55"/>
      <c r="M83" s="55"/>
      <c r="N83" s="55"/>
      <c r="O83" s="57"/>
    </row>
    <row r="84" spans="1:15" customFormat="1" x14ac:dyDescent="0.2">
      <c r="A84" s="63"/>
      <c r="B84" s="19"/>
      <c r="C84" s="19"/>
      <c r="D84" s="19"/>
      <c r="E84" s="19"/>
      <c r="F84" s="19"/>
      <c r="G84" s="20"/>
      <c r="H84" s="20"/>
      <c r="I84" s="20"/>
      <c r="J84" s="20"/>
      <c r="K84" s="20"/>
      <c r="L84" s="20"/>
      <c r="M84" s="20"/>
      <c r="N84" s="20"/>
      <c r="O84" s="21"/>
    </row>
    <row r="85" spans="1:15" customFormat="1" x14ac:dyDescent="0.2">
      <c r="A85" s="64"/>
      <c r="B85" s="32"/>
      <c r="C85" s="32"/>
      <c r="D85" s="32"/>
      <c r="E85" s="32"/>
      <c r="F85" s="32"/>
      <c r="G85" s="33"/>
      <c r="H85" s="34"/>
      <c r="I85" s="34"/>
      <c r="J85" s="34"/>
      <c r="K85" s="34"/>
      <c r="L85" s="34"/>
      <c r="M85" s="34"/>
      <c r="N85" s="34"/>
      <c r="O85" s="35"/>
    </row>
    <row r="86" spans="1:15" customFormat="1" x14ac:dyDescent="0.2">
      <c r="A86" s="65"/>
      <c r="B86" s="36"/>
      <c r="C86" s="36"/>
      <c r="D86" s="36"/>
      <c r="E86" s="36"/>
      <c r="F86" s="36"/>
      <c r="G86" s="37"/>
      <c r="H86" s="37"/>
      <c r="I86" s="37"/>
      <c r="J86" s="37"/>
      <c r="K86" s="37"/>
      <c r="L86" s="37"/>
      <c r="M86" s="37"/>
      <c r="N86" s="37"/>
      <c r="O86" s="38"/>
    </row>
    <row r="95" spans="1:15" x14ac:dyDescent="0.2">
      <c r="E95" s="29"/>
    </row>
  </sheetData>
  <autoFilter ref="A9:O82"/>
  <phoneticPr fontId="0" type="noConversion"/>
  <conditionalFormatting sqref="A10:O11">
    <cfRule type="expression" dxfId="71" priority="74" stopIfTrue="1">
      <formula>$N10="Not Fitted"</formula>
    </cfRule>
  </conditionalFormatting>
  <conditionalFormatting sqref="A12:O12">
    <cfRule type="expression" dxfId="70" priority="71" stopIfTrue="1">
      <formula>$N12="Not Fitted"</formula>
    </cfRule>
  </conditionalFormatting>
  <conditionalFormatting sqref="A13:O13">
    <cfRule type="expression" dxfId="69" priority="70" stopIfTrue="1">
      <formula>$N13="Not Fitted"</formula>
    </cfRule>
  </conditionalFormatting>
  <conditionalFormatting sqref="A14:O14">
    <cfRule type="expression" dxfId="68" priority="69" stopIfTrue="1">
      <formula>$N14="Not Fitted"</formula>
    </cfRule>
  </conditionalFormatting>
  <conditionalFormatting sqref="A15:O15">
    <cfRule type="expression" dxfId="67" priority="68" stopIfTrue="1">
      <formula>$N15="Not Fitted"</formula>
    </cfRule>
  </conditionalFormatting>
  <conditionalFormatting sqref="A16:O16">
    <cfRule type="expression" dxfId="66" priority="67" stopIfTrue="1">
      <formula>$N16="Not Fitted"</formula>
    </cfRule>
  </conditionalFormatting>
  <conditionalFormatting sqref="A17:O17">
    <cfRule type="expression" dxfId="65" priority="66" stopIfTrue="1">
      <formula>$N17="Not Fitted"</formula>
    </cfRule>
  </conditionalFormatting>
  <conditionalFormatting sqref="A18:O18">
    <cfRule type="expression" dxfId="64" priority="65" stopIfTrue="1">
      <formula>$N18="Not Fitted"</formula>
    </cfRule>
  </conditionalFormatting>
  <conditionalFormatting sqref="A19:O19">
    <cfRule type="expression" dxfId="63" priority="64" stopIfTrue="1">
      <formula>$N19="Not Fitted"</formula>
    </cfRule>
  </conditionalFormatting>
  <conditionalFormatting sqref="A20:O20">
    <cfRule type="expression" dxfId="62" priority="63" stopIfTrue="1">
      <formula>$N20="Not Fitted"</formula>
    </cfRule>
  </conditionalFormatting>
  <conditionalFormatting sqref="A21:O21">
    <cfRule type="expression" dxfId="61" priority="62" stopIfTrue="1">
      <formula>$N21="Not Fitted"</formula>
    </cfRule>
  </conditionalFormatting>
  <conditionalFormatting sqref="A22:O22">
    <cfRule type="expression" dxfId="60" priority="61" stopIfTrue="1">
      <formula>$N22="Not Fitted"</formula>
    </cfRule>
  </conditionalFormatting>
  <conditionalFormatting sqref="A23:O23">
    <cfRule type="expression" dxfId="59" priority="60" stopIfTrue="1">
      <formula>$N23="Not Fitted"</formula>
    </cfRule>
  </conditionalFormatting>
  <conditionalFormatting sqref="A24:O24">
    <cfRule type="expression" dxfId="58" priority="59" stopIfTrue="1">
      <formula>$N24="Not Fitted"</formula>
    </cfRule>
  </conditionalFormatting>
  <conditionalFormatting sqref="A25:O25">
    <cfRule type="expression" dxfId="57" priority="58" stopIfTrue="1">
      <formula>$N25="Not Fitted"</formula>
    </cfRule>
  </conditionalFormatting>
  <conditionalFormatting sqref="A26:O26">
    <cfRule type="expression" dxfId="56" priority="57" stopIfTrue="1">
      <formula>$N26="Not Fitted"</formula>
    </cfRule>
  </conditionalFormatting>
  <conditionalFormatting sqref="A27:O27">
    <cfRule type="expression" dxfId="55" priority="56" stopIfTrue="1">
      <formula>$N27="Not Fitted"</formula>
    </cfRule>
  </conditionalFormatting>
  <conditionalFormatting sqref="A28:O28">
    <cfRule type="expression" dxfId="54" priority="55" stopIfTrue="1">
      <formula>$N28="Not Fitted"</formula>
    </cfRule>
  </conditionalFormatting>
  <conditionalFormatting sqref="A29:O29">
    <cfRule type="expression" dxfId="53" priority="54" stopIfTrue="1">
      <formula>$N29="Not Fitted"</formula>
    </cfRule>
  </conditionalFormatting>
  <conditionalFormatting sqref="A30:O30">
    <cfRule type="expression" dxfId="52" priority="53" stopIfTrue="1">
      <formula>$N30="Not Fitted"</formula>
    </cfRule>
  </conditionalFormatting>
  <conditionalFormatting sqref="A31:O31">
    <cfRule type="expression" dxfId="51" priority="52" stopIfTrue="1">
      <formula>$N31="Not Fitted"</formula>
    </cfRule>
  </conditionalFormatting>
  <conditionalFormatting sqref="A32:O32">
    <cfRule type="expression" dxfId="50" priority="51" stopIfTrue="1">
      <formula>$N32="Not Fitted"</formula>
    </cfRule>
  </conditionalFormatting>
  <conditionalFormatting sqref="A33:O33">
    <cfRule type="expression" dxfId="49" priority="50" stopIfTrue="1">
      <formula>$N33="Not Fitted"</formula>
    </cfRule>
  </conditionalFormatting>
  <conditionalFormatting sqref="A34:O34">
    <cfRule type="expression" dxfId="48" priority="49" stopIfTrue="1">
      <formula>$N34="Not Fitted"</formula>
    </cfRule>
  </conditionalFormatting>
  <conditionalFormatting sqref="A35:O35">
    <cfRule type="expression" dxfId="47" priority="48" stopIfTrue="1">
      <formula>$N35="Not Fitted"</formula>
    </cfRule>
  </conditionalFormatting>
  <conditionalFormatting sqref="A36:O36">
    <cfRule type="expression" dxfId="46" priority="47" stopIfTrue="1">
      <formula>$N36="Not Fitted"</formula>
    </cfRule>
  </conditionalFormatting>
  <conditionalFormatting sqref="A37:O37">
    <cfRule type="expression" dxfId="45" priority="46" stopIfTrue="1">
      <formula>$N37="Not Fitted"</formula>
    </cfRule>
  </conditionalFormatting>
  <conditionalFormatting sqref="A38:O38">
    <cfRule type="expression" dxfId="44" priority="45" stopIfTrue="1">
      <formula>$N38="Not Fitted"</formula>
    </cfRule>
  </conditionalFormatting>
  <conditionalFormatting sqref="A39:O39">
    <cfRule type="expression" dxfId="43" priority="44" stopIfTrue="1">
      <formula>$N39="Not Fitted"</formula>
    </cfRule>
  </conditionalFormatting>
  <conditionalFormatting sqref="A40:O40">
    <cfRule type="expression" dxfId="42" priority="43" stopIfTrue="1">
      <formula>$N40="Not Fitted"</formula>
    </cfRule>
  </conditionalFormatting>
  <conditionalFormatting sqref="A41:O41">
    <cfRule type="expression" dxfId="41" priority="42" stopIfTrue="1">
      <formula>$N41="Not Fitted"</formula>
    </cfRule>
  </conditionalFormatting>
  <conditionalFormatting sqref="A42:O42">
    <cfRule type="expression" dxfId="40" priority="41" stopIfTrue="1">
      <formula>$N42="Not Fitted"</formula>
    </cfRule>
  </conditionalFormatting>
  <conditionalFormatting sqref="A43:O43">
    <cfRule type="expression" dxfId="39" priority="40" stopIfTrue="1">
      <formula>$N43="Not Fitted"</formula>
    </cfRule>
  </conditionalFormatting>
  <conditionalFormatting sqref="A44:O44">
    <cfRule type="expression" dxfId="38" priority="39" stopIfTrue="1">
      <formula>$N44="Not Fitted"</formula>
    </cfRule>
  </conditionalFormatting>
  <conditionalFormatting sqref="A45:O45">
    <cfRule type="expression" dxfId="37" priority="38" stopIfTrue="1">
      <formula>$N45="Not Fitted"</formula>
    </cfRule>
  </conditionalFormatting>
  <conditionalFormatting sqref="A46:O46">
    <cfRule type="expression" dxfId="36" priority="37" stopIfTrue="1">
      <formula>$N46="Not Fitted"</formula>
    </cfRule>
  </conditionalFormatting>
  <conditionalFormatting sqref="A47:O47">
    <cfRule type="expression" dxfId="35" priority="36" stopIfTrue="1">
      <formula>$N47="Not Fitted"</formula>
    </cfRule>
  </conditionalFormatting>
  <conditionalFormatting sqref="A48:O48">
    <cfRule type="expression" dxfId="34" priority="35" stopIfTrue="1">
      <formula>$N48="Not Fitted"</formula>
    </cfRule>
  </conditionalFormatting>
  <conditionalFormatting sqref="A49:O49">
    <cfRule type="expression" dxfId="33" priority="34" stopIfTrue="1">
      <formula>$N49="Not Fitted"</formula>
    </cfRule>
  </conditionalFormatting>
  <conditionalFormatting sqref="A50:O50">
    <cfRule type="expression" dxfId="32" priority="33" stopIfTrue="1">
      <formula>$N50="Not Fitted"</formula>
    </cfRule>
  </conditionalFormatting>
  <conditionalFormatting sqref="A51:O51">
    <cfRule type="expression" dxfId="31" priority="32" stopIfTrue="1">
      <formula>$N51="Not Fitted"</formula>
    </cfRule>
  </conditionalFormatting>
  <conditionalFormatting sqref="A52:O52">
    <cfRule type="expression" dxfId="30" priority="31" stopIfTrue="1">
      <formula>$N52="Not Fitted"</formula>
    </cfRule>
  </conditionalFormatting>
  <conditionalFormatting sqref="A53:O53">
    <cfRule type="expression" dxfId="29" priority="30" stopIfTrue="1">
      <formula>$N53="Not Fitted"</formula>
    </cfRule>
  </conditionalFormatting>
  <conditionalFormatting sqref="A54:O54">
    <cfRule type="expression" dxfId="28" priority="29" stopIfTrue="1">
      <formula>$N54="Not Fitted"</formula>
    </cfRule>
  </conditionalFormatting>
  <conditionalFormatting sqref="A55:O55">
    <cfRule type="expression" dxfId="27" priority="28" stopIfTrue="1">
      <formula>$N55="Not Fitted"</formula>
    </cfRule>
  </conditionalFormatting>
  <conditionalFormatting sqref="A56:O56">
    <cfRule type="expression" dxfId="26" priority="27" stopIfTrue="1">
      <formula>$N56="Not Fitted"</formula>
    </cfRule>
  </conditionalFormatting>
  <conditionalFormatting sqref="A57:O57">
    <cfRule type="expression" dxfId="25" priority="26" stopIfTrue="1">
      <formula>$N57="Not Fitted"</formula>
    </cfRule>
  </conditionalFormatting>
  <conditionalFormatting sqref="A58:O58">
    <cfRule type="expression" dxfId="24" priority="25" stopIfTrue="1">
      <formula>$N58="Not Fitted"</formula>
    </cfRule>
  </conditionalFormatting>
  <conditionalFormatting sqref="A59:O59">
    <cfRule type="expression" dxfId="23" priority="24" stopIfTrue="1">
      <formula>$N59="Not Fitted"</formula>
    </cfRule>
  </conditionalFormatting>
  <conditionalFormatting sqref="A60:O60">
    <cfRule type="expression" dxfId="22" priority="23" stopIfTrue="1">
      <formula>$N60="Not Fitted"</formula>
    </cfRule>
  </conditionalFormatting>
  <conditionalFormatting sqref="A61:O61">
    <cfRule type="expression" dxfId="21" priority="22" stopIfTrue="1">
      <formula>$N61="Not Fitted"</formula>
    </cfRule>
  </conditionalFormatting>
  <conditionalFormatting sqref="A62:O62">
    <cfRule type="expression" dxfId="20" priority="21" stopIfTrue="1">
      <formula>$N62="Not Fitted"</formula>
    </cfRule>
  </conditionalFormatting>
  <conditionalFormatting sqref="A63:O63">
    <cfRule type="expression" dxfId="19" priority="20" stopIfTrue="1">
      <formula>$N63="Not Fitted"</formula>
    </cfRule>
  </conditionalFormatting>
  <conditionalFormatting sqref="A64:O64">
    <cfRule type="expression" dxfId="18" priority="19" stopIfTrue="1">
      <formula>$N64="Not Fitted"</formula>
    </cfRule>
  </conditionalFormatting>
  <conditionalFormatting sqref="A65:O65">
    <cfRule type="expression" dxfId="17" priority="18" stopIfTrue="1">
      <formula>$N65="Not Fitted"</formula>
    </cfRule>
  </conditionalFormatting>
  <conditionalFormatting sqref="A66:O66">
    <cfRule type="expression" dxfId="16" priority="17" stopIfTrue="1">
      <formula>$N66="Not Fitted"</formula>
    </cfRule>
  </conditionalFormatting>
  <conditionalFormatting sqref="A67:O67">
    <cfRule type="expression" dxfId="15" priority="16" stopIfTrue="1">
      <formula>$N67="Not Fitted"</formula>
    </cfRule>
  </conditionalFormatting>
  <conditionalFormatting sqref="A68:O68">
    <cfRule type="expression" dxfId="14" priority="15" stopIfTrue="1">
      <formula>$N68="Not Fitted"</formula>
    </cfRule>
  </conditionalFormatting>
  <conditionalFormatting sqref="A69:O69">
    <cfRule type="expression" dxfId="13" priority="14" stopIfTrue="1">
      <formula>$N69="Not Fitted"</formula>
    </cfRule>
  </conditionalFormatting>
  <conditionalFormatting sqref="A70:O70">
    <cfRule type="expression" dxfId="12" priority="13" stopIfTrue="1">
      <formula>$N70="Not Fitted"</formula>
    </cfRule>
  </conditionalFormatting>
  <conditionalFormatting sqref="A71:O71">
    <cfRule type="expression" dxfId="11" priority="12" stopIfTrue="1">
      <formula>$N71="Not Fitted"</formula>
    </cfRule>
  </conditionalFormatting>
  <conditionalFormatting sqref="A72:O72">
    <cfRule type="expression" dxfId="10" priority="11" stopIfTrue="1">
      <formula>$N72="Not Fitted"</formula>
    </cfRule>
  </conditionalFormatting>
  <conditionalFormatting sqref="A73:O73">
    <cfRule type="expression" dxfId="9" priority="10" stopIfTrue="1">
      <formula>$N73="Not Fitted"</formula>
    </cfRule>
  </conditionalFormatting>
  <conditionalFormatting sqref="A74:O74">
    <cfRule type="expression" dxfId="8" priority="9" stopIfTrue="1">
      <formula>$N74="Not Fitted"</formula>
    </cfRule>
  </conditionalFormatting>
  <conditionalFormatting sqref="A75:O75">
    <cfRule type="expression" dxfId="7" priority="8" stopIfTrue="1">
      <formula>$N75="Not Fitted"</formula>
    </cfRule>
  </conditionalFormatting>
  <conditionalFormatting sqref="A76:O76">
    <cfRule type="expression" dxfId="6" priority="7" stopIfTrue="1">
      <formula>$N76="Not Fitted"</formula>
    </cfRule>
  </conditionalFormatting>
  <conditionalFormatting sqref="A77:O77">
    <cfRule type="expression" dxfId="5" priority="6" stopIfTrue="1">
      <formula>$N77="Not Fitted"</formula>
    </cfRule>
  </conditionalFormatting>
  <conditionalFormatting sqref="A78:O78">
    <cfRule type="expression" dxfId="4" priority="5" stopIfTrue="1">
      <formula>$N78="Not Fitted"</formula>
    </cfRule>
  </conditionalFormatting>
  <conditionalFormatting sqref="A79:O79">
    <cfRule type="expression" dxfId="3" priority="4" stopIfTrue="1">
      <formula>$N79="Not Fitted"</formula>
    </cfRule>
  </conditionalFormatting>
  <conditionalFormatting sqref="A80:O80">
    <cfRule type="expression" dxfId="2" priority="3" stopIfTrue="1">
      <formula>$N80="Not Fitted"</formula>
    </cfRule>
  </conditionalFormatting>
  <conditionalFormatting sqref="A81:O81">
    <cfRule type="expression" dxfId="1" priority="2" stopIfTrue="1">
      <formula>$N81="Not Fitted"</formula>
    </cfRule>
  </conditionalFormatting>
  <conditionalFormatting sqref="A82:O82">
    <cfRule type="expression" dxfId="0" priority="1" stopIfTrue="1">
      <formula>$N82="Not Fitted"</formula>
    </cfRule>
  </conditionalFormatting>
  <pageMargins left="0.46" right="0.36" top="0.57999999999999996" bottom="1" header="0.5" footer="0.5"/>
  <pageSetup paperSize="9" orientation="landscape" horizontalDpi="200" verticalDpi="200" r:id="rId1"/>
  <headerFooter alignWithMargins="0">
    <oddFooter>&amp;L&amp;BAltium Limited Confidential&amp;B&amp;C&amp;D&amp;RPage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pread_Rows">
                <anchor moveWithCells="1" sizeWithCells="1">
                  <from>
                    <xdr:col>6</xdr:col>
                    <xdr:colOff>66675</xdr:colOff>
                    <xdr:row>2</xdr:row>
                    <xdr:rowOff>47625</xdr:rowOff>
                  </from>
                  <to>
                    <xdr:col>7</xdr:col>
                    <xdr:colOff>781050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4"/>
  <sheetViews>
    <sheetView workbookViewId="0">
      <selection activeCell="B19" sqref="B19"/>
    </sheetView>
  </sheetViews>
  <sheetFormatPr defaultRowHeight="12.75" x14ac:dyDescent="0.2"/>
  <cols>
    <col min="1" max="1" width="30.28515625" style="10" customWidth="1"/>
    <col min="2" max="2" width="108.5703125" style="10" customWidth="1"/>
  </cols>
  <sheetData>
    <row r="1" spans="1:2" s="12" customFormat="1" ht="17.25" customHeight="1" x14ac:dyDescent="0.2">
      <c r="A1" s="11" t="s">
        <v>4</v>
      </c>
      <c r="B1" s="83" t="s">
        <v>433</v>
      </c>
    </row>
    <row r="2" spans="1:2" s="12" customFormat="1" ht="17.25" customHeight="1" x14ac:dyDescent="0.2">
      <c r="A2" s="13" t="s">
        <v>6</v>
      </c>
      <c r="B2" s="84" t="s">
        <v>30</v>
      </c>
    </row>
    <row r="3" spans="1:2" s="12" customFormat="1" ht="17.25" customHeight="1" x14ac:dyDescent="0.2">
      <c r="A3" s="14" t="s">
        <v>5</v>
      </c>
      <c r="B3" s="85" t="s">
        <v>31</v>
      </c>
    </row>
    <row r="4" spans="1:2" s="12" customFormat="1" ht="17.25" customHeight="1" x14ac:dyDescent="0.2">
      <c r="A4" s="13" t="s">
        <v>7</v>
      </c>
      <c r="B4" s="84" t="s">
        <v>30</v>
      </c>
    </row>
    <row r="5" spans="1:2" s="12" customFormat="1" ht="17.25" customHeight="1" x14ac:dyDescent="0.2">
      <c r="A5" s="14" t="s">
        <v>8</v>
      </c>
      <c r="B5" s="85" t="s">
        <v>433</v>
      </c>
    </row>
    <row r="6" spans="1:2" s="12" customFormat="1" ht="17.25" customHeight="1" x14ac:dyDescent="0.2">
      <c r="A6" s="13" t="s">
        <v>3</v>
      </c>
      <c r="B6" s="84" t="s">
        <v>434</v>
      </c>
    </row>
    <row r="7" spans="1:2" s="12" customFormat="1" ht="17.25" customHeight="1" x14ac:dyDescent="0.2">
      <c r="A7" s="14" t="s">
        <v>9</v>
      </c>
      <c r="B7" s="85" t="s">
        <v>435</v>
      </c>
    </row>
    <row r="8" spans="1:2" s="12" customFormat="1" ht="17.25" customHeight="1" x14ac:dyDescent="0.2">
      <c r="A8" s="13" t="s">
        <v>10</v>
      </c>
      <c r="B8" s="84" t="s">
        <v>32</v>
      </c>
    </row>
    <row r="9" spans="1:2" s="12" customFormat="1" ht="17.25" customHeight="1" x14ac:dyDescent="0.2">
      <c r="A9" s="14" t="s">
        <v>11</v>
      </c>
      <c r="B9" s="85" t="s">
        <v>29</v>
      </c>
    </row>
    <row r="10" spans="1:2" s="12" customFormat="1" ht="17.25" customHeight="1" x14ac:dyDescent="0.2">
      <c r="A10" s="13" t="s">
        <v>13</v>
      </c>
      <c r="B10" s="84" t="s">
        <v>436</v>
      </c>
    </row>
    <row r="11" spans="1:2" s="12" customFormat="1" ht="17.25" customHeight="1" x14ac:dyDescent="0.2">
      <c r="A11" s="14" t="s">
        <v>12</v>
      </c>
      <c r="B11" s="85" t="s">
        <v>18</v>
      </c>
    </row>
    <row r="12" spans="1:2" s="12" customFormat="1" ht="17.25" customHeight="1" x14ac:dyDescent="0.2">
      <c r="A12" s="13" t="s">
        <v>14</v>
      </c>
      <c r="B12" s="84" t="s">
        <v>437</v>
      </c>
    </row>
    <row r="13" spans="1:2" s="12" customFormat="1" ht="17.25" customHeight="1" x14ac:dyDescent="0.2">
      <c r="A13" s="14" t="s">
        <v>15</v>
      </c>
      <c r="B13" s="85" t="s">
        <v>438</v>
      </c>
    </row>
    <row r="14" spans="1:2" s="12" customFormat="1" ht="17.25" customHeight="1" thickBot="1" x14ac:dyDescent="0.25">
      <c r="A14" s="15" t="s">
        <v>16</v>
      </c>
      <c r="B14" s="86" t="s">
        <v>18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BOM Report</vt:lpstr>
      <vt:lpstr>Project Information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Steve Larson</dc:creator>
  <cp:lastModifiedBy>Steve Larson</cp:lastModifiedBy>
  <cp:lastPrinted>2002-11-05T13:50:54Z</cp:lastPrinted>
  <dcterms:created xsi:type="dcterms:W3CDTF">2000-10-27T00:30:29Z</dcterms:created>
  <dcterms:modified xsi:type="dcterms:W3CDTF">2014-03-31T19:15:36Z</dcterms:modified>
</cp:coreProperties>
</file>